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ycore test\EVM-test-\docs\"/>
    </mc:Choice>
  </mc:AlternateContent>
  <xr:revisionPtr revIDLastSave="0" documentId="13_ncr:1_{A19360AD-971E-40EB-B1AA-FBA29CE1655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os" sheetId="1" r:id="rId1"/>
    <sheet name="EVM" sheetId="2" r:id="rId2"/>
    <sheet name="Comparación API" sheetId="3" r:id="rId3"/>
    <sheet name="Nota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3" l="1"/>
  <c r="I45" i="3" s="1"/>
  <c r="G45" i="3"/>
  <c r="E45" i="3"/>
  <c r="H44" i="3"/>
  <c r="I44" i="3" s="1"/>
  <c r="G44" i="3"/>
  <c r="E44" i="3"/>
  <c r="H43" i="3"/>
  <c r="I43" i="3" s="1"/>
  <c r="G43" i="3"/>
  <c r="E43" i="3"/>
  <c r="H42" i="3"/>
  <c r="I42" i="3" s="1"/>
  <c r="G42" i="3"/>
  <c r="E42" i="3"/>
  <c r="H41" i="3"/>
  <c r="I41" i="3" s="1"/>
  <c r="G41" i="3"/>
  <c r="E41" i="3"/>
  <c r="H40" i="3"/>
  <c r="I40" i="3" s="1"/>
  <c r="G40" i="3"/>
  <c r="E40" i="3"/>
  <c r="H39" i="3"/>
  <c r="I39" i="3" s="1"/>
  <c r="G39" i="3"/>
  <c r="E39" i="3"/>
  <c r="H38" i="3"/>
  <c r="I38" i="3" s="1"/>
  <c r="G38" i="3"/>
  <c r="E38" i="3"/>
  <c r="H37" i="3"/>
  <c r="I37" i="3" s="1"/>
  <c r="G37" i="3"/>
  <c r="E37" i="3"/>
  <c r="H36" i="3"/>
  <c r="I36" i="3" s="1"/>
  <c r="G36" i="3"/>
  <c r="E36" i="3"/>
  <c r="H35" i="3"/>
  <c r="I35" i="3" s="1"/>
  <c r="G35" i="3"/>
  <c r="E35" i="3"/>
  <c r="H34" i="3"/>
  <c r="I34" i="3" s="1"/>
  <c r="G34" i="3"/>
  <c r="E34" i="3"/>
  <c r="H33" i="3"/>
  <c r="I33" i="3" s="1"/>
  <c r="G33" i="3"/>
  <c r="E33" i="3"/>
  <c r="H32" i="3"/>
  <c r="I32" i="3" s="1"/>
  <c r="G32" i="3"/>
  <c r="E32" i="3"/>
  <c r="H31" i="3"/>
  <c r="I31" i="3" s="1"/>
  <c r="G31" i="3"/>
  <c r="E31" i="3"/>
  <c r="H30" i="3"/>
  <c r="I30" i="3" s="1"/>
  <c r="G30" i="3"/>
  <c r="E30" i="3"/>
  <c r="H29" i="3"/>
  <c r="I29" i="3" s="1"/>
  <c r="G29" i="3"/>
  <c r="E29" i="3"/>
  <c r="H28" i="3"/>
  <c r="I28" i="3" s="1"/>
  <c r="G28" i="3"/>
  <c r="E28" i="3"/>
  <c r="H27" i="3"/>
  <c r="I27" i="3" s="1"/>
  <c r="G27" i="3"/>
  <c r="E27" i="3"/>
  <c r="H26" i="3"/>
  <c r="I26" i="3" s="1"/>
  <c r="G26" i="3"/>
  <c r="E26" i="3"/>
  <c r="H25" i="3"/>
  <c r="I25" i="3" s="1"/>
  <c r="G25" i="3"/>
  <c r="E25" i="3"/>
  <c r="H24" i="3"/>
  <c r="I24" i="3" s="1"/>
  <c r="G24" i="3"/>
  <c r="E24" i="3"/>
  <c r="H23" i="3"/>
  <c r="I23" i="3" s="1"/>
  <c r="G23" i="3"/>
  <c r="E23" i="3"/>
  <c r="H22" i="3"/>
  <c r="I22" i="3" s="1"/>
  <c r="G22" i="3"/>
  <c r="E22" i="3"/>
  <c r="H21" i="3"/>
  <c r="I21" i="3" s="1"/>
  <c r="G21" i="3"/>
  <c r="E21" i="3"/>
  <c r="H20" i="3"/>
  <c r="I20" i="3" s="1"/>
  <c r="G20" i="3"/>
  <c r="E20" i="3"/>
  <c r="H19" i="3"/>
  <c r="I19" i="3" s="1"/>
  <c r="G19" i="3"/>
  <c r="E19" i="3"/>
  <c r="H18" i="3"/>
  <c r="I18" i="3" s="1"/>
  <c r="G18" i="3"/>
  <c r="E18" i="3"/>
  <c r="H17" i="3"/>
  <c r="I17" i="3" s="1"/>
  <c r="G17" i="3"/>
  <c r="E17" i="3"/>
  <c r="H16" i="3"/>
  <c r="I16" i="3" s="1"/>
  <c r="G16" i="3"/>
  <c r="E16" i="3"/>
  <c r="H15" i="3"/>
  <c r="I15" i="3" s="1"/>
  <c r="G15" i="3"/>
  <c r="E15" i="3"/>
  <c r="H14" i="3"/>
  <c r="I14" i="3" s="1"/>
  <c r="G14" i="3"/>
  <c r="E14" i="3"/>
  <c r="H13" i="3"/>
  <c r="I13" i="3" s="1"/>
  <c r="G13" i="3"/>
  <c r="E13" i="3"/>
  <c r="H12" i="3"/>
  <c r="I12" i="3" s="1"/>
  <c r="G12" i="3"/>
  <c r="E12" i="3"/>
  <c r="H11" i="3"/>
  <c r="I11" i="3" s="1"/>
  <c r="G11" i="3"/>
  <c r="E11" i="3"/>
  <c r="H10" i="3"/>
  <c r="I10" i="3" s="1"/>
  <c r="G10" i="3"/>
  <c r="E10" i="3"/>
  <c r="H9" i="3"/>
  <c r="I9" i="3" s="1"/>
  <c r="G9" i="3"/>
  <c r="E9" i="3"/>
  <c r="H8" i="3"/>
  <c r="I8" i="3" s="1"/>
  <c r="G8" i="3"/>
  <c r="E8" i="3"/>
  <c r="H7" i="3"/>
  <c r="I7" i="3" s="1"/>
  <c r="G7" i="3"/>
  <c r="E7" i="3"/>
  <c r="H6" i="3"/>
  <c r="I6" i="3" s="1"/>
  <c r="G6" i="3"/>
  <c r="E6" i="3"/>
  <c r="F3" i="3"/>
  <c r="B3" i="3"/>
  <c r="E7" i="2"/>
  <c r="J7" i="2" s="1"/>
  <c r="D7" i="2"/>
  <c r="C7" i="2"/>
  <c r="B7" i="2"/>
  <c r="A7" i="2"/>
  <c r="E6" i="2"/>
  <c r="D6" i="2"/>
  <c r="C6" i="2"/>
  <c r="B6" i="2"/>
  <c r="A6" i="2"/>
  <c r="E5" i="2"/>
  <c r="D5" i="2"/>
  <c r="C5" i="2"/>
  <c r="B5" i="2"/>
  <c r="A5" i="2"/>
  <c r="E4" i="2"/>
  <c r="D4" i="2"/>
  <c r="C4" i="2"/>
  <c r="B4" i="2"/>
  <c r="A4" i="2"/>
  <c r="F7" i="2" l="1"/>
  <c r="K7" i="2" s="1"/>
  <c r="F4" i="2"/>
  <c r="G5" i="2"/>
  <c r="C15" i="3" s="1"/>
  <c r="F15" i="3" s="1"/>
  <c r="G7" i="2"/>
  <c r="H7" i="2" s="1"/>
  <c r="C32" i="3" s="1"/>
  <c r="F32" i="3" s="1"/>
  <c r="F5" i="2"/>
  <c r="C14" i="3" s="1"/>
  <c r="F14" i="3" s="1"/>
  <c r="P7" i="2"/>
  <c r="C34" i="3"/>
  <c r="F34" i="3" s="1"/>
  <c r="G6" i="2"/>
  <c r="B8" i="2"/>
  <c r="F6" i="2"/>
  <c r="K6" i="2" s="1"/>
  <c r="G4" i="2"/>
  <c r="G8" i="2" s="1"/>
  <c r="J4" i="2"/>
  <c r="L4" i="2" s="1"/>
  <c r="E8" i="2"/>
  <c r="I5" i="2"/>
  <c r="C17" i="3" s="1"/>
  <c r="F17" i="3" s="1"/>
  <c r="H5" i="2"/>
  <c r="C16" i="3" s="1"/>
  <c r="F16" i="3" s="1"/>
  <c r="J5" i="2"/>
  <c r="C35" i="3"/>
  <c r="F35" i="3" s="1"/>
  <c r="Q7" i="2"/>
  <c r="O7" i="2"/>
  <c r="K4" i="2"/>
  <c r="C6" i="3"/>
  <c r="F6" i="3" s="1"/>
  <c r="F8" i="2"/>
  <c r="C10" i="3"/>
  <c r="F10" i="3" s="1"/>
  <c r="N4" i="2"/>
  <c r="I7" i="2"/>
  <c r="C33" i="3" s="1"/>
  <c r="F33" i="3" s="1"/>
  <c r="C30" i="3"/>
  <c r="F30" i="3" s="1"/>
  <c r="L7" i="2"/>
  <c r="N7" i="2"/>
  <c r="D3" i="3"/>
  <c r="C31" i="3" l="1"/>
  <c r="F31" i="3" s="1"/>
  <c r="I6" i="2"/>
  <c r="C25" i="3" s="1"/>
  <c r="F25" i="3" s="1"/>
  <c r="C7" i="3"/>
  <c r="F7" i="3" s="1"/>
  <c r="H4" i="2"/>
  <c r="C8" i="3" s="1"/>
  <c r="F8" i="3" s="1"/>
  <c r="K5" i="2"/>
  <c r="Q5" i="2" s="1"/>
  <c r="C22" i="3"/>
  <c r="F22" i="3" s="1"/>
  <c r="C8" i="2"/>
  <c r="H6" i="2"/>
  <c r="C24" i="3" s="1"/>
  <c r="F24" i="3" s="1"/>
  <c r="J6" i="2"/>
  <c r="B12" i="2" s="1"/>
  <c r="I4" i="2"/>
  <c r="C9" i="3" s="1"/>
  <c r="F9" i="3" s="1"/>
  <c r="C23" i="3"/>
  <c r="F23" i="3" s="1"/>
  <c r="H8" i="2"/>
  <c r="C40" i="3" s="1"/>
  <c r="F40" i="3" s="1"/>
  <c r="I8" i="2"/>
  <c r="C41" i="3" s="1"/>
  <c r="F41" i="3" s="1"/>
  <c r="C39" i="3"/>
  <c r="F39" i="3" s="1"/>
  <c r="J8" i="2"/>
  <c r="C19" i="3"/>
  <c r="F19" i="3" s="1"/>
  <c r="C12" i="3"/>
  <c r="F12" i="3" s="1"/>
  <c r="M4" i="2"/>
  <c r="D8" i="2"/>
  <c r="C27" i="3"/>
  <c r="F27" i="3" s="1"/>
  <c r="Q6" i="2"/>
  <c r="O6" i="2"/>
  <c r="C38" i="3"/>
  <c r="F38" i="3" s="1"/>
  <c r="K8" i="2"/>
  <c r="C11" i="3"/>
  <c r="F11" i="3" s="1"/>
  <c r="Q4" i="2"/>
  <c r="O4" i="2"/>
  <c r="B15" i="2"/>
  <c r="P4" i="2"/>
  <c r="L6" i="2"/>
  <c r="P5" i="2"/>
  <c r="N5" i="2"/>
  <c r="C18" i="3"/>
  <c r="F18" i="3" s="1"/>
  <c r="L5" i="2"/>
  <c r="C36" i="3"/>
  <c r="F36" i="3" s="1"/>
  <c r="M7" i="2"/>
  <c r="P6" i="2" l="1"/>
  <c r="O5" i="2"/>
  <c r="N6" i="2"/>
  <c r="C26" i="3"/>
  <c r="F26" i="3" s="1"/>
  <c r="C20" i="3"/>
  <c r="F20" i="3" s="1"/>
  <c r="M5" i="2"/>
  <c r="B17" i="2"/>
  <c r="B18" i="2" s="1"/>
  <c r="R7" i="2"/>
  <c r="C37" i="3"/>
  <c r="F37" i="3" s="1"/>
  <c r="R4" i="2"/>
  <c r="C13" i="3"/>
  <c r="F13" i="3" s="1"/>
  <c r="C28" i="3"/>
  <c r="F28" i="3" s="1"/>
  <c r="M6" i="2"/>
  <c r="B13" i="2"/>
  <c r="B14" i="2" s="1"/>
  <c r="P8" i="2"/>
  <c r="N8" i="2"/>
  <c r="C42" i="3"/>
  <c r="F42" i="3" s="1"/>
  <c r="L8" i="2"/>
  <c r="O8" i="2"/>
  <c r="C43" i="3"/>
  <c r="F43" i="3" s="1"/>
  <c r="B16" i="2"/>
  <c r="Q8" i="2"/>
  <c r="C44" i="3" l="1"/>
  <c r="F44" i="3" s="1"/>
  <c r="M8" i="2"/>
  <c r="B19" i="2"/>
  <c r="R5" i="2"/>
  <c r="C21" i="3"/>
  <c r="F21" i="3" s="1"/>
  <c r="C29" i="3"/>
  <c r="F29" i="3" s="1"/>
  <c r="R6" i="2"/>
  <c r="B20" i="2"/>
  <c r="C45" i="3" l="1"/>
  <c r="F45" i="3" s="1"/>
  <c r="R8" i="2"/>
  <c r="B21" i="2"/>
</calcChain>
</file>

<file path=xl/sharedStrings.xml><?xml version="1.0" encoding="utf-8"?>
<sst xmlns="http://schemas.openxmlformats.org/spreadsheetml/2006/main" count="150" uniqueCount="68">
  <si>
    <t>Datos de entrada - Portal de clientes</t>
  </si>
  <si>
    <t>En azul los datos que se pueden cambiar</t>
  </si>
  <si>
    <t>Actividad</t>
  </si>
  <si>
    <t>BAC ($)</t>
  </si>
  <si>
    <t>% planificado</t>
  </si>
  <si>
    <t>% real</t>
  </si>
  <si>
    <t>AC ($)</t>
  </si>
  <si>
    <t>A. Diseño</t>
  </si>
  <si>
    <t>B. Desarrollo</t>
  </si>
  <si>
    <t>C. Pruebas</t>
  </si>
  <si>
    <t>D. Despliegue</t>
  </si>
  <si>
    <t>Tolerancias para comparar</t>
  </si>
  <si>
    <t>Índices (CPI, SPI)</t>
  </si>
  <si>
    <t>la API redondea a 4 decimales</t>
  </si>
  <si>
    <t>Dinero</t>
  </si>
  <si>
    <t>la API redondea a 2 decimales</t>
  </si>
  <si>
    <t>Cálculo EVM</t>
  </si>
  <si>
    <t>N/A = división por cero (en la API sale null)</t>
  </si>
  <si>
    <t>BAC</t>
  </si>
  <si>
    <t>% plan</t>
  </si>
  <si>
    <t>AC</t>
  </si>
  <si>
    <t>PV</t>
  </si>
  <si>
    <t>EV</t>
  </si>
  <si>
    <t>CV</t>
  </si>
  <si>
    <t>SV</t>
  </si>
  <si>
    <t>CPI</t>
  </si>
  <si>
    <t>SPI</t>
  </si>
  <si>
    <t>EAC</t>
  </si>
  <si>
    <t>VAC</t>
  </si>
  <si>
    <t>Costo</t>
  </si>
  <si>
    <t>Cronograma</t>
  </si>
  <si>
    <t>Chequeo CPI</t>
  </si>
  <si>
    <t>Chequeo SPI</t>
  </si>
  <si>
    <t>Chequeo VAC</t>
  </si>
  <si>
    <t>Total proyecto</t>
  </si>
  <si>
    <t>Chequeos del total</t>
  </si>
  <si>
    <t>Promedio CPI de las actividades</t>
  </si>
  <si>
    <t>CPI total (EV/AC)</t>
  </si>
  <si>
    <t>Diferencia</t>
  </si>
  <si>
    <t>Promedio SPI de las actividades</t>
  </si>
  <si>
    <t>SPI total (EV/PV)</t>
  </si>
  <si>
    <t>Suma EAC actividades (sin D)</t>
  </si>
  <si>
    <t>Suma EAC + BAC de D</t>
  </si>
  <si>
    <t>EAC total</t>
  </si>
  <si>
    <t>Suma VAC actividades</t>
  </si>
  <si>
    <t>VAC total</t>
  </si>
  <si>
    <t>Excel vs API</t>
  </si>
  <si>
    <t>Pegar en la columna D lo que devuelve la API (si viene null, escribir null)</t>
  </si>
  <si>
    <t>OK:</t>
  </si>
  <si>
    <t>Diferencias:</t>
  </si>
  <si>
    <t>Pendientes:</t>
  </si>
  <si>
    <t>Entidad</t>
  </si>
  <si>
    <t>Indicador</t>
  </si>
  <si>
    <t>Excel</t>
  </si>
  <si>
    <t>API</t>
  </si>
  <si>
    <t>API (número)</t>
  </si>
  <si>
    <t>Tolerancia</t>
  </si>
  <si>
    <t>Estado</t>
  </si>
  <si>
    <t>Posible causa</t>
  </si>
  <si>
    <t>Proyecto</t>
  </si>
  <si>
    <t>Notas</t>
  </si>
  <si>
    <t>- Datos: ejercicio Portal de clientes (v2). Si el proyecto del repo trae otros valores, cambiar Datos!B4:E7.</t>
  </si>
  <si>
    <t>- Fórmulas del enunciado. El total del proyecto suma montos y recalcula los índices (no promedia).</t>
  </si>
  <si>
    <t>- No redondeo nada, los decimales que se ven son solo formato. Así se nota si la API redondea antes.</t>
  </si>
  <si>
    <t>- N/A aquí = null en la API. Si la API da null donde aquí hay N/A, cuenta como OK.</t>
  </si>
  <si>
    <t>- Tolerancias en Datos!B11:B12.</t>
  </si>
  <si>
    <t>- Solo sirve para 4 actividades; si hay más toca agregar filas en las tres hojas.</t>
  </si>
  <si>
    <t>- Los valores de la API los saco de /api-docs.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</si>
</sst>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$#,##0;&quot;($&quot;#,##0\);\-"/>
    <numFmt numFmtId="165" formatCode="0.0000"/>
    <numFmt numFmtId="166" formatCode="0.000"/>
    <numFmt numFmtId="167" formatCode="0.0%"/>
    <numFmt numFmtId="168" formatCode="#,##0.00;\(#,##0.00\);0.00"/>
  </numFmts>
  <fonts count="7" x14ac:knownFonts="1">
    <font>
      <sz val="11"/>
      <color theme="1"/>
      <name val="Calibri"/>
      <family val="2"/>
      <charset val="1"/>
    </font>
    <font>
      <b/>
      <sz val="13"/>
      <name val="Calibri"/>
    </font>
    <font>
      <sz val="11"/>
      <color theme="1"/>
      <name val="Calibri"/>
    </font>
    <font>
      <sz val="11"/>
      <name val="Calibri"/>
    </font>
    <font>
      <b/>
      <sz val="11"/>
      <name val="Calibri"/>
    </font>
    <font>
      <sz val="11"/>
      <color rgb="FF0000FF"/>
      <name val="Calibri"/>
    </font>
    <font>
      <sz val="11"/>
      <color rgb="FF008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EDEDED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4" borderId="1" xfId="0" applyFont="1" applyFill="1" applyBorder="1" applyAlignment="1">
      <alignment horizontal="center"/>
    </xf>
    <xf numFmtId="0" fontId="5" fillId="0" borderId="1" xfId="0" applyFont="1" applyBorder="1"/>
    <xf numFmtId="164" fontId="5" fillId="0" borderId="1" xfId="0" applyNumberFormat="1" applyFont="1" applyBorder="1"/>
    <xf numFmtId="9" fontId="5" fillId="0" borderId="1" xfId="0" applyNumberFormat="1" applyFont="1" applyBorder="1"/>
    <xf numFmtId="0" fontId="4" fillId="0" borderId="0" xfId="0" applyFont="1"/>
    <xf numFmtId="165" fontId="5" fillId="0" borderId="1" xfId="0" applyNumberFormat="1" applyFont="1" applyBorder="1"/>
    <xf numFmtId="2" fontId="5" fillId="0" borderId="1" xfId="0" applyNumberFormat="1" applyFont="1" applyBorder="1"/>
    <xf numFmtId="0" fontId="4" fillId="4" borderId="1" xfId="0" applyFont="1" applyFill="1" applyBorder="1" applyAlignment="1">
      <alignment horizontal="center" wrapText="1"/>
    </xf>
    <xf numFmtId="0" fontId="6" fillId="0" borderId="1" xfId="0" applyFont="1" applyBorder="1"/>
    <xf numFmtId="164" fontId="6" fillId="0" borderId="1" xfId="0" applyNumberFormat="1" applyFont="1" applyBorder="1"/>
    <xf numFmtId="9" fontId="6" fillId="0" borderId="1" xfId="0" applyNumberFormat="1" applyFont="1" applyBorder="1"/>
    <xf numFmtId="164" fontId="3" fillId="0" borderId="1" xfId="0" applyNumberFormat="1" applyFont="1" applyBorder="1"/>
    <xf numFmtId="166" fontId="3" fillId="0" borderId="1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164" fontId="4" fillId="2" borderId="1" xfId="0" applyNumberFormat="1" applyFont="1" applyFill="1" applyBorder="1"/>
    <xf numFmtId="167" fontId="4" fillId="2" borderId="1" xfId="0" applyNumberFormat="1" applyFont="1" applyFill="1" applyBorder="1"/>
    <xf numFmtId="166" fontId="4" fillId="2" borderId="1" xfId="0" applyNumberFormat="1" applyFont="1" applyFill="1" applyBorder="1" applyAlignment="1">
      <alignment horizontal="right"/>
    </xf>
    <xf numFmtId="164" fontId="4" fillId="2" borderId="1" xfId="0" applyNumberFormat="1" applyFont="1" applyFill="1" applyBorder="1" applyAlignment="1">
      <alignment horizontal="right"/>
    </xf>
    <xf numFmtId="0" fontId="4" fillId="2" borderId="1" xfId="0" applyFont="1" applyFill="1" applyBorder="1" applyAlignment="1">
      <alignment horizontal="center"/>
    </xf>
    <xf numFmtId="165" fontId="3" fillId="0" borderId="1" xfId="0" applyNumberFormat="1" applyFont="1" applyBorder="1"/>
    <xf numFmtId="0" fontId="3" fillId="0" borderId="1" xfId="0" applyFont="1" applyBorder="1"/>
    <xf numFmtId="168" fontId="6" fillId="0" borderId="1" xfId="0" applyNumberFormat="1" applyFont="1" applyBorder="1" applyAlignment="1">
      <alignment horizontal="right"/>
    </xf>
    <xf numFmtId="168" fontId="3" fillId="3" borderId="1" xfId="0" applyNumberFormat="1" applyFont="1" applyFill="1" applyBorder="1" applyAlignment="1">
      <alignment horizontal="right"/>
    </xf>
    <xf numFmtId="168" fontId="3" fillId="0" borderId="1" xfId="0" applyNumberFormat="1" applyFont="1" applyBorder="1" applyAlignment="1">
      <alignment horizontal="right"/>
    </xf>
    <xf numFmtId="2" fontId="6" fillId="0" borderId="1" xfId="0" applyNumberFormat="1" applyFont="1" applyBorder="1"/>
    <xf numFmtId="0" fontId="3" fillId="0" borderId="1" xfId="0" applyFont="1" applyBorder="1" applyAlignment="1">
      <alignment vertical="top" wrapText="1"/>
    </xf>
    <xf numFmtId="165" fontId="6" fillId="0" borderId="1" xfId="0" applyNumberFormat="1" applyFont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5" fontId="6" fillId="0" borderId="1" xfId="0" applyNumberFormat="1" applyFont="1" applyBorder="1"/>
    <xf numFmtId="0" fontId="3" fillId="0" borderId="2" xfId="0" applyFont="1" applyBorder="1"/>
    <xf numFmtId="168" fontId="6" fillId="0" borderId="2" xfId="0" applyNumberFormat="1" applyFont="1" applyBorder="1" applyAlignment="1">
      <alignment horizontal="right"/>
    </xf>
    <xf numFmtId="168" fontId="3" fillId="3" borderId="2" xfId="0" applyNumberFormat="1" applyFont="1" applyFill="1" applyBorder="1" applyAlignment="1">
      <alignment horizontal="right"/>
    </xf>
    <xf numFmtId="168" fontId="3" fillId="0" borderId="2" xfId="0" applyNumberFormat="1" applyFont="1" applyBorder="1" applyAlignment="1">
      <alignment horizontal="right"/>
    </xf>
    <xf numFmtId="2" fontId="6" fillId="0" borderId="2" xfId="0" applyNumberFormat="1" applyFont="1" applyBorder="1"/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3">
    <dxf>
      <font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Normal="100" workbookViewId="0"/>
  </sheetViews>
  <sheetFormatPr baseColWidth="10" defaultColWidth="8.6640625" defaultRowHeight="14.4" x14ac:dyDescent="0.3"/>
  <cols>
    <col min="1" max="1" width="34" customWidth="1"/>
    <col min="2" max="5" width="18" customWidth="1"/>
  </cols>
  <sheetData>
    <row r="1" spans="1:5" ht="17.399999999999999" customHeight="1" x14ac:dyDescent="0.35">
      <c r="A1" s="1" t="s">
        <v>0</v>
      </c>
      <c r="B1" s="2"/>
      <c r="C1" s="2"/>
      <c r="D1" s="2"/>
      <c r="E1" s="2"/>
    </row>
    <row r="2" spans="1:5" ht="15" customHeight="1" x14ac:dyDescent="0.3">
      <c r="A2" s="3" t="s">
        <v>1</v>
      </c>
      <c r="B2" s="2"/>
      <c r="C2" s="2"/>
      <c r="D2" s="2"/>
      <c r="E2" s="2"/>
    </row>
    <row r="3" spans="1:5" ht="15" customHeight="1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</row>
    <row r="4" spans="1:5" ht="15" customHeight="1" x14ac:dyDescent="0.3">
      <c r="A4" s="5" t="s">
        <v>7</v>
      </c>
      <c r="B4" s="6">
        <v>20000000</v>
      </c>
      <c r="C4" s="7">
        <v>1</v>
      </c>
      <c r="D4" s="7">
        <v>1</v>
      </c>
      <c r="E4" s="6">
        <v>18000000</v>
      </c>
    </row>
    <row r="5" spans="1:5" ht="15" customHeight="1" x14ac:dyDescent="0.3">
      <c r="A5" s="5" t="s">
        <v>8</v>
      </c>
      <c r="B5" s="6">
        <v>50000000</v>
      </c>
      <c r="C5" s="7">
        <v>0.6</v>
      </c>
      <c r="D5" s="7">
        <v>0.4</v>
      </c>
      <c r="E5" s="6">
        <v>25000000</v>
      </c>
    </row>
    <row r="6" spans="1:5" ht="15" customHeight="1" x14ac:dyDescent="0.3">
      <c r="A6" s="5" t="s">
        <v>9</v>
      </c>
      <c r="B6" s="6">
        <v>10000000</v>
      </c>
      <c r="C6" s="7">
        <v>0.2</v>
      </c>
      <c r="D6" s="7">
        <v>0.3</v>
      </c>
      <c r="E6" s="6">
        <v>2000000</v>
      </c>
    </row>
    <row r="7" spans="1:5" ht="15" customHeight="1" x14ac:dyDescent="0.3">
      <c r="A7" s="5" t="s">
        <v>10</v>
      </c>
      <c r="B7" s="6">
        <v>8000000</v>
      </c>
      <c r="C7" s="7">
        <v>0</v>
      </c>
      <c r="D7" s="7">
        <v>0</v>
      </c>
      <c r="E7" s="6">
        <v>0</v>
      </c>
    </row>
    <row r="8" spans="1:5" x14ac:dyDescent="0.3">
      <c r="A8" s="2"/>
      <c r="B8" s="2"/>
      <c r="C8" s="2"/>
      <c r="D8" s="2"/>
      <c r="E8" s="2"/>
    </row>
    <row r="9" spans="1:5" x14ac:dyDescent="0.3">
      <c r="A9" s="2"/>
      <c r="B9" s="2"/>
      <c r="C9" s="2"/>
      <c r="D9" s="2"/>
      <c r="E9" s="2"/>
    </row>
    <row r="10" spans="1:5" ht="15" customHeight="1" x14ac:dyDescent="0.3">
      <c r="A10" s="8" t="s">
        <v>11</v>
      </c>
      <c r="B10" s="2"/>
      <c r="C10" s="2"/>
      <c r="D10" s="2"/>
      <c r="E10" s="2"/>
    </row>
    <row r="11" spans="1:5" ht="15" customHeight="1" x14ac:dyDescent="0.3">
      <c r="A11" s="3" t="s">
        <v>12</v>
      </c>
      <c r="B11" s="9">
        <v>1E-4</v>
      </c>
      <c r="C11" s="3" t="s">
        <v>13</v>
      </c>
      <c r="D11" s="2"/>
      <c r="E11" s="2"/>
    </row>
    <row r="12" spans="1:5" ht="15" customHeight="1" x14ac:dyDescent="0.3">
      <c r="A12" s="3" t="s">
        <v>14</v>
      </c>
      <c r="B12" s="10">
        <v>0.01</v>
      </c>
      <c r="C12" s="3" t="s">
        <v>15</v>
      </c>
      <c r="D12" s="2"/>
      <c r="E12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8.6640625" defaultRowHeight="14.4" x14ac:dyDescent="0.3"/>
  <cols>
    <col min="1" max="1" width="32" customWidth="1"/>
    <col min="2" max="13" width="15" customWidth="1"/>
    <col min="14" max="14" width="19" customWidth="1"/>
    <col min="15" max="15" width="14" customWidth="1"/>
    <col min="16" max="18" width="12" customWidth="1"/>
  </cols>
  <sheetData>
    <row r="1" spans="1:18" ht="17.399999999999999" customHeight="1" x14ac:dyDescent="0.35">
      <c r="A1" s="1" t="s">
        <v>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" customHeight="1" x14ac:dyDescent="0.3">
      <c r="A2" s="3" t="s">
        <v>17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27.75" customHeight="1" x14ac:dyDescent="0.3">
      <c r="A3" s="11" t="s">
        <v>2</v>
      </c>
      <c r="B3" s="11" t="s">
        <v>18</v>
      </c>
      <c r="C3" s="11" t="s">
        <v>19</v>
      </c>
      <c r="D3" s="11" t="s">
        <v>5</v>
      </c>
      <c r="E3" s="11" t="s">
        <v>20</v>
      </c>
      <c r="F3" s="11" t="s">
        <v>21</v>
      </c>
      <c r="G3" s="11" t="s">
        <v>22</v>
      </c>
      <c r="H3" s="11" t="s">
        <v>23</v>
      </c>
      <c r="I3" s="11" t="s">
        <v>24</v>
      </c>
      <c r="J3" s="11" t="s">
        <v>25</v>
      </c>
      <c r="K3" s="11" t="s">
        <v>26</v>
      </c>
      <c r="L3" s="11" t="s">
        <v>27</v>
      </c>
      <c r="M3" s="11" t="s">
        <v>28</v>
      </c>
      <c r="N3" s="11" t="s">
        <v>29</v>
      </c>
      <c r="O3" s="11" t="s">
        <v>30</v>
      </c>
      <c r="P3" s="11" t="s">
        <v>31</v>
      </c>
      <c r="Q3" s="11" t="s">
        <v>32</v>
      </c>
      <c r="R3" s="11" t="s">
        <v>33</v>
      </c>
    </row>
    <row r="4" spans="1:18" ht="15" customHeight="1" x14ac:dyDescent="0.3">
      <c r="A4" s="12" t="str">
        <f>Datos!A4</f>
        <v>A. Diseño</v>
      </c>
      <c r="B4" s="13">
        <f>Datos!B4</f>
        <v>20000000</v>
      </c>
      <c r="C4" s="14">
        <f>Datos!C4</f>
        <v>1</v>
      </c>
      <c r="D4" s="14">
        <f>Datos!D4</f>
        <v>1</v>
      </c>
      <c r="E4" s="13">
        <f>Datos!E4</f>
        <v>18000000</v>
      </c>
      <c r="F4" s="15">
        <f>C4*B4</f>
        <v>20000000</v>
      </c>
      <c r="G4" s="15">
        <f>D4*B4</f>
        <v>20000000</v>
      </c>
      <c r="H4" s="15">
        <f>G4-E4</f>
        <v>2000000</v>
      </c>
      <c r="I4" s="15">
        <f>G4-F4</f>
        <v>0</v>
      </c>
      <c r="J4" s="16">
        <f>IF(E4=0,"N/A",G4/E4)</f>
        <v>1.1111111111111112</v>
      </c>
      <c r="K4" s="16">
        <f>IF(F4=0,"N/A",G4/F4)</f>
        <v>1</v>
      </c>
      <c r="L4" s="17">
        <f>IF(J4="N/A","N/A",IF(J4=0,"N/A",B4/J4))</f>
        <v>18000000</v>
      </c>
      <c r="M4" s="17">
        <f>IF(L4="N/A","N/A",B4-L4)</f>
        <v>2000000</v>
      </c>
      <c r="N4" s="18" t="str">
        <f>IF(J4="N/A","No aplicable",IF(J4&gt;1,"Bajo presupuesto",IF(J4&lt;1,"Sobre presupuesto","En presupuesto")))</f>
        <v>Bajo presupuesto</v>
      </c>
      <c r="O4" s="18" t="str">
        <f>IF(K4="N/A","No aplicable",IF(K4&gt;1,"Adelantada",IF(K4&lt;1,"Atrasada","A tiempo")))</f>
        <v>A tiempo</v>
      </c>
      <c r="P4" s="18" t="str">
        <f t="shared" ref="P4:Q8" si="0">IF(J4="N/A","N/A",IF(SIGN(ROUND(H4,2))=SIGN(ROUND(J4-1,6)),"OK","REVISAR"))</f>
        <v>OK</v>
      </c>
      <c r="Q4" s="18" t="str">
        <f t="shared" si="0"/>
        <v>OK</v>
      </c>
      <c r="R4" s="18" t="str">
        <f>IF(M4="N/A","N/A",IF(SIGN(ROUND(M4,2))=SIGN(ROUND(H4,2)),"OK","REVISAR"))</f>
        <v>OK</v>
      </c>
    </row>
    <row r="5" spans="1:18" ht="15" customHeight="1" x14ac:dyDescent="0.3">
      <c r="A5" s="12" t="str">
        <f>Datos!A5</f>
        <v>B. Desarrollo</v>
      </c>
      <c r="B5" s="13">
        <f>Datos!B5</f>
        <v>50000000</v>
      </c>
      <c r="C5" s="14">
        <f>Datos!C5</f>
        <v>0.6</v>
      </c>
      <c r="D5" s="14">
        <f>Datos!D5</f>
        <v>0.4</v>
      </c>
      <c r="E5" s="13">
        <f>Datos!E5</f>
        <v>25000000</v>
      </c>
      <c r="F5" s="15">
        <f>C5*B5</f>
        <v>30000000</v>
      </c>
      <c r="G5" s="15">
        <f>D5*B5</f>
        <v>20000000</v>
      </c>
      <c r="H5" s="15">
        <f>G5-E5</f>
        <v>-5000000</v>
      </c>
      <c r="I5" s="15">
        <f>G5-F5</f>
        <v>-10000000</v>
      </c>
      <c r="J5" s="16">
        <f>IF(E5=0,"N/A",G5/E5)</f>
        <v>0.8</v>
      </c>
      <c r="K5" s="16">
        <f>IF(F5=0,"N/A",G5/F5)</f>
        <v>0.66666666666666663</v>
      </c>
      <c r="L5" s="17">
        <f>IF(J5="N/A","N/A",IF(J5=0,"N/A",B5/J5))</f>
        <v>62500000</v>
      </c>
      <c r="M5" s="17">
        <f>IF(L5="N/A","N/A",B5-L5)</f>
        <v>-12500000</v>
      </c>
      <c r="N5" s="18" t="str">
        <f>IF(J5="N/A","No aplicable",IF(J5&gt;1,"Bajo presupuesto",IF(J5&lt;1,"Sobre presupuesto","En presupuesto")))</f>
        <v>Sobre presupuesto</v>
      </c>
      <c r="O5" s="18" t="str">
        <f>IF(K5="N/A","No aplicable",IF(K5&gt;1,"Adelantada",IF(K5&lt;1,"Atrasada","A tiempo")))</f>
        <v>Atrasada</v>
      </c>
      <c r="P5" s="18" t="str">
        <f t="shared" si="0"/>
        <v>OK</v>
      </c>
      <c r="Q5" s="18" t="str">
        <f t="shared" si="0"/>
        <v>OK</v>
      </c>
      <c r="R5" s="18" t="str">
        <f>IF(M5="N/A","N/A",IF(SIGN(ROUND(M5,2))=SIGN(ROUND(H5,2)),"OK","REVISAR"))</f>
        <v>OK</v>
      </c>
    </row>
    <row r="6" spans="1:18" ht="15" customHeight="1" x14ac:dyDescent="0.3">
      <c r="A6" s="12" t="str">
        <f>Datos!A6</f>
        <v>C. Pruebas</v>
      </c>
      <c r="B6" s="13">
        <f>Datos!B6</f>
        <v>10000000</v>
      </c>
      <c r="C6" s="14">
        <f>Datos!C6</f>
        <v>0.2</v>
      </c>
      <c r="D6" s="14">
        <f>Datos!D6</f>
        <v>0.3</v>
      </c>
      <c r="E6" s="13">
        <f>Datos!E6</f>
        <v>2000000</v>
      </c>
      <c r="F6" s="15">
        <f>C6*B6</f>
        <v>2000000</v>
      </c>
      <c r="G6" s="15">
        <f>D6*B6</f>
        <v>3000000</v>
      </c>
      <c r="H6" s="15">
        <f>G6-E6</f>
        <v>1000000</v>
      </c>
      <c r="I6" s="15">
        <f>G6-F6</f>
        <v>1000000</v>
      </c>
      <c r="J6" s="16">
        <f>IF(E6=0,"N/A",G6/E6)</f>
        <v>1.5</v>
      </c>
      <c r="K6" s="16">
        <f>IF(F6=0,"N/A",G6/F6)</f>
        <v>1.5</v>
      </c>
      <c r="L6" s="17">
        <f>IF(J6="N/A","N/A",IF(J6=0,"N/A",B6/J6))</f>
        <v>6666666.666666667</v>
      </c>
      <c r="M6" s="17">
        <f>IF(L6="N/A","N/A",B6-L6)</f>
        <v>3333333.333333333</v>
      </c>
      <c r="N6" s="18" t="str">
        <f>IF(J6="N/A","No aplicable",IF(J6&gt;1,"Bajo presupuesto",IF(J6&lt;1,"Sobre presupuesto","En presupuesto")))</f>
        <v>Bajo presupuesto</v>
      </c>
      <c r="O6" s="18" t="str">
        <f>IF(K6="N/A","No aplicable",IF(K6&gt;1,"Adelantada",IF(K6&lt;1,"Atrasada","A tiempo")))</f>
        <v>Adelantada</v>
      </c>
      <c r="P6" s="18" t="str">
        <f t="shared" si="0"/>
        <v>OK</v>
      </c>
      <c r="Q6" s="18" t="str">
        <f t="shared" si="0"/>
        <v>OK</v>
      </c>
      <c r="R6" s="18" t="str">
        <f>IF(M6="N/A","N/A",IF(SIGN(ROUND(M6,2))=SIGN(ROUND(H6,2)),"OK","REVISAR"))</f>
        <v>OK</v>
      </c>
    </row>
    <row r="7" spans="1:18" ht="15" customHeight="1" x14ac:dyDescent="0.3">
      <c r="A7" s="12" t="str">
        <f>Datos!A7</f>
        <v>D. Despliegue</v>
      </c>
      <c r="B7" s="13">
        <f>Datos!B7</f>
        <v>8000000</v>
      </c>
      <c r="C7" s="14">
        <f>Datos!C7</f>
        <v>0</v>
      </c>
      <c r="D7" s="14">
        <f>Datos!D7</f>
        <v>0</v>
      </c>
      <c r="E7" s="13">
        <f>Datos!E7</f>
        <v>0</v>
      </c>
      <c r="F7" s="15">
        <f>C7*B7</f>
        <v>0</v>
      </c>
      <c r="G7" s="15">
        <f>D7*B7</f>
        <v>0</v>
      </c>
      <c r="H7" s="15">
        <f>G7-E7</f>
        <v>0</v>
      </c>
      <c r="I7" s="15">
        <f>G7-F7</f>
        <v>0</v>
      </c>
      <c r="J7" s="16" t="str">
        <f>IF(E7=0,"N/A",G7/E7)</f>
        <v>N/A</v>
      </c>
      <c r="K7" s="16" t="str">
        <f>IF(F7=0,"N/A",G7/F7)</f>
        <v>N/A</v>
      </c>
      <c r="L7" s="17" t="str">
        <f>IF(J7="N/A","N/A",IF(J7=0,"N/A",B7/J7))</f>
        <v>N/A</v>
      </c>
      <c r="M7" s="17" t="str">
        <f>IF(L7="N/A","N/A",B7-L7)</f>
        <v>N/A</v>
      </c>
      <c r="N7" s="18" t="str">
        <f>IF(J7="N/A","No aplicable",IF(J7&gt;1,"Bajo presupuesto",IF(J7&lt;1,"Sobre presupuesto","En presupuesto")))</f>
        <v>No aplicable</v>
      </c>
      <c r="O7" s="18" t="str">
        <f>IF(K7="N/A","No aplicable",IF(K7&gt;1,"Adelantada",IF(K7&lt;1,"Atrasada","A tiempo")))</f>
        <v>No aplicable</v>
      </c>
      <c r="P7" s="18" t="str">
        <f t="shared" si="0"/>
        <v>N/A</v>
      </c>
      <c r="Q7" s="18" t="str">
        <f t="shared" si="0"/>
        <v>N/A</v>
      </c>
      <c r="R7" s="18" t="str">
        <f>IF(M7="N/A","N/A",IF(SIGN(ROUND(M7,2))=SIGN(ROUND(H7,2)),"OK","REVISAR"))</f>
        <v>N/A</v>
      </c>
    </row>
    <row r="8" spans="1:18" ht="15" customHeight="1" x14ac:dyDescent="0.3">
      <c r="A8" s="19" t="s">
        <v>34</v>
      </c>
      <c r="B8" s="20">
        <f>SUM(B4:B7)</f>
        <v>88000000</v>
      </c>
      <c r="C8" s="21">
        <f>IF(B8=0,"N/A",F8/B8)</f>
        <v>0.59090909090909094</v>
      </c>
      <c r="D8" s="21">
        <f>IF(B8=0,"N/A",G8/B8)</f>
        <v>0.48863636363636365</v>
      </c>
      <c r="E8" s="20">
        <f>SUM(E4:E7)</f>
        <v>45000000</v>
      </c>
      <c r="F8" s="20">
        <f>SUM(F4:F7)</f>
        <v>52000000</v>
      </c>
      <c r="G8" s="20">
        <f>SUM(G4:G7)</f>
        <v>43000000</v>
      </c>
      <c r="H8" s="20">
        <f>G8-E8</f>
        <v>-2000000</v>
      </c>
      <c r="I8" s="20">
        <f>G8-F8</f>
        <v>-9000000</v>
      </c>
      <c r="J8" s="22">
        <f>IF(E8=0,"N/A",G8/E8)</f>
        <v>0.9555555555555556</v>
      </c>
      <c r="K8" s="22">
        <f>IF(F8=0,"N/A",G8/F8)</f>
        <v>0.82692307692307687</v>
      </c>
      <c r="L8" s="23">
        <f>IF(J8="N/A","N/A",IF(J8=0,"N/A",B8/J8))</f>
        <v>92093023.255813956</v>
      </c>
      <c r="M8" s="23">
        <f>IF(L8="N/A","N/A",B8-L8)</f>
        <v>-4093023.2558139563</v>
      </c>
      <c r="N8" s="24" t="str">
        <f>IF(J8="N/A","No aplicable",IF(J8&gt;1,"Bajo presupuesto",IF(J8&lt;1,"Sobre presupuesto","En presupuesto")))</f>
        <v>Sobre presupuesto</v>
      </c>
      <c r="O8" s="24" t="str">
        <f>IF(K8="N/A","No aplicable",IF(K8&gt;1,"Adelantado",IF(K8&lt;1,"Atrasado","A tiempo")))</f>
        <v>Atrasado</v>
      </c>
      <c r="P8" s="24" t="str">
        <f t="shared" si="0"/>
        <v>OK</v>
      </c>
      <c r="Q8" s="24" t="str">
        <f t="shared" si="0"/>
        <v>OK</v>
      </c>
      <c r="R8" s="24" t="str">
        <f>IF(M8="N/A","N/A",IF(SIGN(ROUND(M8,2))=SIGN(ROUND(H8,2)),"OK","REVISAR"))</f>
        <v>OK</v>
      </c>
    </row>
    <row r="9" spans="1:18" x14ac:dyDescent="0.3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</row>
    <row r="11" spans="1:18" ht="15" customHeight="1" x14ac:dyDescent="0.3">
      <c r="A11" s="8" t="s">
        <v>35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ht="15" customHeight="1" x14ac:dyDescent="0.3">
      <c r="A12" s="3" t="s">
        <v>36</v>
      </c>
      <c r="B12" s="25">
        <f>AVERAGE(J4:J7)</f>
        <v>1.1370370370370371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ht="15" customHeight="1" x14ac:dyDescent="0.3">
      <c r="A13" s="3" t="s">
        <v>37</v>
      </c>
      <c r="B13" s="25">
        <f>J8</f>
        <v>0.9555555555555556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1:18" ht="15" customHeight="1" x14ac:dyDescent="0.3">
      <c r="A14" s="3" t="s">
        <v>38</v>
      </c>
      <c r="B14" s="25">
        <f>B12-B13</f>
        <v>0.18148148148148147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1:18" ht="15" customHeight="1" x14ac:dyDescent="0.3">
      <c r="A15" s="3" t="s">
        <v>39</v>
      </c>
      <c r="B15" s="25">
        <f>AVERAGE(K4:K7)</f>
        <v>1.0555555555555556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1:18" ht="15" customHeight="1" x14ac:dyDescent="0.3">
      <c r="A16" s="3" t="s">
        <v>40</v>
      </c>
      <c r="B16" s="25">
        <f>K8</f>
        <v>0.82692307692307687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1:18" ht="15" customHeight="1" x14ac:dyDescent="0.3">
      <c r="A17" s="3" t="s">
        <v>41</v>
      </c>
      <c r="B17" s="15">
        <f>SUM(L4:L7)</f>
        <v>87166666.666666672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ht="15" customHeight="1" x14ac:dyDescent="0.3">
      <c r="A18" s="3" t="s">
        <v>42</v>
      </c>
      <c r="B18" s="15">
        <f>B17+SUMIF(L4:L7,"N/A",B4:B7)</f>
        <v>95166666.666666672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ht="15" customHeight="1" x14ac:dyDescent="0.3">
      <c r="A19" s="3" t="s">
        <v>43</v>
      </c>
      <c r="B19" s="15">
        <f>L8</f>
        <v>92093023.255813956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1:18" ht="15" customHeight="1" x14ac:dyDescent="0.3">
      <c r="A20" s="3" t="s">
        <v>44</v>
      </c>
      <c r="B20" s="15">
        <f>SUM(M4:M7)</f>
        <v>-7166666.666666667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ht="15" customHeight="1" x14ac:dyDescent="0.3">
      <c r="A21" s="3" t="s">
        <v>45</v>
      </c>
      <c r="B21" s="15">
        <f>M8</f>
        <v>-4093023.2558139563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zoomScaleNormal="100" workbookViewId="0">
      <pane ySplit="5" topLeftCell="A6" activePane="bottomLeft" state="frozen"/>
      <selection pane="bottomLeft"/>
    </sheetView>
  </sheetViews>
  <sheetFormatPr baseColWidth="10" defaultColWidth="8.6640625" defaultRowHeight="14.4" x14ac:dyDescent="0.3"/>
  <cols>
    <col min="1" max="1" width="14" customWidth="1"/>
    <col min="2" max="2" width="11" customWidth="1"/>
    <col min="3" max="3" width="18" customWidth="1"/>
    <col min="4" max="4" width="14" customWidth="1"/>
    <col min="5" max="5" width="16" customWidth="1"/>
    <col min="6" max="6" width="18" customWidth="1"/>
    <col min="7" max="7" width="12" customWidth="1"/>
    <col min="8" max="8" width="14" customWidth="1"/>
    <col min="9" max="9" width="34" customWidth="1"/>
  </cols>
  <sheetData>
    <row r="1" spans="1:9" ht="17.399999999999999" customHeight="1" x14ac:dyDescent="0.35">
      <c r="A1" s="1" t="s">
        <v>46</v>
      </c>
      <c r="B1" s="2"/>
      <c r="C1" s="2"/>
      <c r="D1" s="2"/>
      <c r="E1" s="2"/>
      <c r="F1" s="2"/>
      <c r="G1" s="2"/>
      <c r="H1" s="2"/>
      <c r="I1" s="2"/>
    </row>
    <row r="2" spans="1:9" ht="15" customHeight="1" x14ac:dyDescent="0.3">
      <c r="A2" s="3" t="s">
        <v>47</v>
      </c>
      <c r="B2" s="2"/>
      <c r="C2" s="2"/>
      <c r="D2" s="2"/>
      <c r="E2" s="2"/>
      <c r="F2" s="2"/>
      <c r="G2" s="2"/>
      <c r="H2" s="2"/>
      <c r="I2" s="2"/>
    </row>
    <row r="3" spans="1:9" ht="15" customHeight="1" x14ac:dyDescent="0.3">
      <c r="A3" s="8" t="s">
        <v>48</v>
      </c>
      <c r="B3" s="3">
        <f>COUNTIF(H6:H45,"OK")</f>
        <v>0</v>
      </c>
      <c r="C3" s="8" t="s">
        <v>49</v>
      </c>
      <c r="D3" s="3">
        <f>COUNTIF(H6:H45,"DIFERENCIA")</f>
        <v>0</v>
      </c>
      <c r="E3" s="8" t="s">
        <v>50</v>
      </c>
      <c r="F3" s="3">
        <f>COUNTIF(H6:H45,"PENDIENTE")</f>
        <v>40</v>
      </c>
      <c r="G3" s="2"/>
      <c r="H3" s="2"/>
      <c r="I3" s="2"/>
    </row>
    <row r="4" spans="1:9" x14ac:dyDescent="0.3">
      <c r="A4" s="2"/>
      <c r="B4" s="2"/>
      <c r="C4" s="2"/>
      <c r="D4" s="2"/>
      <c r="E4" s="2"/>
      <c r="F4" s="2"/>
      <c r="G4" s="2"/>
      <c r="H4" s="2"/>
      <c r="I4" s="2"/>
    </row>
    <row r="5" spans="1:9" ht="30" customHeight="1" x14ac:dyDescent="0.3">
      <c r="A5" s="11" t="s">
        <v>51</v>
      </c>
      <c r="B5" s="11" t="s">
        <v>52</v>
      </c>
      <c r="C5" s="11" t="s">
        <v>53</v>
      </c>
      <c r="D5" s="11" t="s">
        <v>54</v>
      </c>
      <c r="E5" s="11" t="s">
        <v>55</v>
      </c>
      <c r="F5" s="11" t="s">
        <v>38</v>
      </c>
      <c r="G5" s="11" t="s">
        <v>56</v>
      </c>
      <c r="H5" s="11" t="s">
        <v>57</v>
      </c>
      <c r="I5" s="11" t="s">
        <v>58</v>
      </c>
    </row>
    <row r="6" spans="1:9" ht="15" customHeight="1" x14ac:dyDescent="0.3">
      <c r="A6" s="26" t="s">
        <v>7</v>
      </c>
      <c r="B6" s="26" t="s">
        <v>21</v>
      </c>
      <c r="C6" s="27">
        <f>EVM!F4</f>
        <v>20000000</v>
      </c>
      <c r="D6" s="28"/>
      <c r="E6" s="29" t="str">
        <f t="shared" ref="E6:E45" si="0">IF(D6="","",IF(ISNUMBER(D6),D6,IFERROR(VALUE(SUBSTITUTE(D6,".",MID(1/2,2,1))),IF(OR(UPPER(D6)="NULL",UPPER(D6)="N/A"),"null","TEXTO"))))</f>
        <v/>
      </c>
      <c r="F6" s="29" t="str">
        <f t="shared" ref="F6:F45" si="1">IF(AND(ISNUMBER(C6),ISNUMBER(E6)),E6-C6,"")</f>
        <v/>
      </c>
      <c r="G6" s="30">
        <f>Datos!$B$12</f>
        <v>0.01</v>
      </c>
      <c r="H6" s="18" t="str">
        <f t="shared" ref="H6:H45" si="2">IF(D6="","PENDIENTE",IF(ISNUMBER(C6),IF(ISNUMBER(E6),IF(ABS(F6)&lt;=G6,"OK","DIFERENCIA"),"DIFERENCIA"),IF(E6="null","OK","DIFERENCIA")))</f>
        <v>PENDIENTE</v>
      </c>
      <c r="I6" s="31" t="str">
        <f t="shared" ref="I6:I45" si="3">IF(H6&lt;&gt;"DIFERENCIA","",IF(AND(ISNUMBER(C6),E6="null"),"API da null y debería dar valor",IF(AND(NOT(ISNUMBER(C6)),ISNUMBER(E6)),"API da número y debería dar null",IF(E6="TEXTO","formato raro en la API",IF(IFERROR(ABS(E6-(C6*100))&lt;=G6,FALSE()),"% como entero (60 en vez de 0,6)?",IF(IFERROR(ABS(F6)&lt;=1,FALSE()),"redondeo","revisar"))))))</f>
        <v/>
      </c>
    </row>
    <row r="7" spans="1:9" ht="15" customHeight="1" x14ac:dyDescent="0.3">
      <c r="A7" s="26" t="s">
        <v>7</v>
      </c>
      <c r="B7" s="26" t="s">
        <v>22</v>
      </c>
      <c r="C7" s="27">
        <f>EVM!G4</f>
        <v>20000000</v>
      </c>
      <c r="D7" s="28"/>
      <c r="E7" s="29" t="str">
        <f t="shared" si="0"/>
        <v/>
      </c>
      <c r="F7" s="29" t="str">
        <f t="shared" si="1"/>
        <v/>
      </c>
      <c r="G7" s="30">
        <f>Datos!$B$12</f>
        <v>0.01</v>
      </c>
      <c r="H7" s="18" t="str">
        <f t="shared" si="2"/>
        <v>PENDIENTE</v>
      </c>
      <c r="I7" s="31" t="str">
        <f t="shared" si="3"/>
        <v/>
      </c>
    </row>
    <row r="8" spans="1:9" ht="15" customHeight="1" x14ac:dyDescent="0.3">
      <c r="A8" s="26" t="s">
        <v>7</v>
      </c>
      <c r="B8" s="26" t="s">
        <v>23</v>
      </c>
      <c r="C8" s="27">
        <f>EVM!H4</f>
        <v>2000000</v>
      </c>
      <c r="D8" s="28"/>
      <c r="E8" s="29" t="str">
        <f t="shared" si="0"/>
        <v/>
      </c>
      <c r="F8" s="29" t="str">
        <f t="shared" si="1"/>
        <v/>
      </c>
      <c r="G8" s="30">
        <f>Datos!$B$12</f>
        <v>0.01</v>
      </c>
      <c r="H8" s="18" t="str">
        <f t="shared" si="2"/>
        <v>PENDIENTE</v>
      </c>
      <c r="I8" s="31" t="str">
        <f t="shared" si="3"/>
        <v/>
      </c>
    </row>
    <row r="9" spans="1:9" ht="15" customHeight="1" x14ac:dyDescent="0.3">
      <c r="A9" s="26" t="s">
        <v>7</v>
      </c>
      <c r="B9" s="26" t="s">
        <v>24</v>
      </c>
      <c r="C9" s="27">
        <f>EVM!I4</f>
        <v>0</v>
      </c>
      <c r="D9" s="28"/>
      <c r="E9" s="29" t="str">
        <f t="shared" si="0"/>
        <v/>
      </c>
      <c r="F9" s="29" t="str">
        <f t="shared" si="1"/>
        <v/>
      </c>
      <c r="G9" s="30">
        <f>Datos!$B$12</f>
        <v>0.01</v>
      </c>
      <c r="H9" s="18" t="str">
        <f t="shared" si="2"/>
        <v>PENDIENTE</v>
      </c>
      <c r="I9" s="31" t="str">
        <f t="shared" si="3"/>
        <v/>
      </c>
    </row>
    <row r="10" spans="1:9" ht="15" customHeight="1" x14ac:dyDescent="0.3">
      <c r="A10" s="26" t="s">
        <v>7</v>
      </c>
      <c r="B10" s="26" t="s">
        <v>25</v>
      </c>
      <c r="C10" s="32">
        <f>EVM!J4</f>
        <v>1.1111111111111112</v>
      </c>
      <c r="D10" s="33"/>
      <c r="E10" s="34" t="str">
        <f t="shared" si="0"/>
        <v/>
      </c>
      <c r="F10" s="34" t="str">
        <f t="shared" si="1"/>
        <v/>
      </c>
      <c r="G10" s="35">
        <f>Datos!$B$11</f>
        <v>1E-4</v>
      </c>
      <c r="H10" s="18" t="str">
        <f t="shared" si="2"/>
        <v>PENDIENTE</v>
      </c>
      <c r="I10" s="31" t="str">
        <f t="shared" si="3"/>
        <v/>
      </c>
    </row>
    <row r="11" spans="1:9" ht="15" customHeight="1" x14ac:dyDescent="0.3">
      <c r="A11" s="26" t="s">
        <v>7</v>
      </c>
      <c r="B11" s="26" t="s">
        <v>26</v>
      </c>
      <c r="C11" s="32">
        <f>EVM!K4</f>
        <v>1</v>
      </c>
      <c r="D11" s="33"/>
      <c r="E11" s="34" t="str">
        <f t="shared" si="0"/>
        <v/>
      </c>
      <c r="F11" s="34" t="str">
        <f t="shared" si="1"/>
        <v/>
      </c>
      <c r="G11" s="35">
        <f>Datos!$B$11</f>
        <v>1E-4</v>
      </c>
      <c r="H11" s="18" t="str">
        <f t="shared" si="2"/>
        <v>PENDIENTE</v>
      </c>
      <c r="I11" s="31" t="str">
        <f t="shared" si="3"/>
        <v/>
      </c>
    </row>
    <row r="12" spans="1:9" ht="15" customHeight="1" x14ac:dyDescent="0.3">
      <c r="A12" s="26" t="s">
        <v>7</v>
      </c>
      <c r="B12" s="26" t="s">
        <v>27</v>
      </c>
      <c r="C12" s="27">
        <f>EVM!L4</f>
        <v>18000000</v>
      </c>
      <c r="D12" s="28"/>
      <c r="E12" s="29" t="str">
        <f t="shared" si="0"/>
        <v/>
      </c>
      <c r="F12" s="29" t="str">
        <f t="shared" si="1"/>
        <v/>
      </c>
      <c r="G12" s="30">
        <f>Datos!$B$12</f>
        <v>0.01</v>
      </c>
      <c r="H12" s="18" t="str">
        <f t="shared" si="2"/>
        <v>PENDIENTE</v>
      </c>
      <c r="I12" s="31" t="str">
        <f t="shared" si="3"/>
        <v/>
      </c>
    </row>
    <row r="13" spans="1:9" ht="15" customHeight="1" x14ac:dyDescent="0.3">
      <c r="A13" s="26" t="s">
        <v>7</v>
      </c>
      <c r="B13" s="26" t="s">
        <v>28</v>
      </c>
      <c r="C13" s="27">
        <f>EVM!M4</f>
        <v>2000000</v>
      </c>
      <c r="D13" s="28"/>
      <c r="E13" s="29" t="str">
        <f t="shared" si="0"/>
        <v/>
      </c>
      <c r="F13" s="29" t="str">
        <f t="shared" si="1"/>
        <v/>
      </c>
      <c r="G13" s="30">
        <f>Datos!$B$12</f>
        <v>0.01</v>
      </c>
      <c r="H13" s="18" t="str">
        <f t="shared" si="2"/>
        <v>PENDIENTE</v>
      </c>
      <c r="I13" s="31" t="str">
        <f t="shared" si="3"/>
        <v/>
      </c>
    </row>
    <row r="14" spans="1:9" ht="15" customHeight="1" x14ac:dyDescent="0.3">
      <c r="A14" s="36" t="s">
        <v>8</v>
      </c>
      <c r="B14" s="36" t="s">
        <v>21</v>
      </c>
      <c r="C14" s="37">
        <f>EVM!F5</f>
        <v>30000000</v>
      </c>
      <c r="D14" s="38"/>
      <c r="E14" s="39" t="str">
        <f t="shared" si="0"/>
        <v/>
      </c>
      <c r="F14" s="39" t="str">
        <f t="shared" si="1"/>
        <v/>
      </c>
      <c r="G14" s="40">
        <f>Datos!$B$12</f>
        <v>0.01</v>
      </c>
      <c r="H14" s="41" t="str">
        <f t="shared" si="2"/>
        <v>PENDIENTE</v>
      </c>
      <c r="I14" s="42" t="str">
        <f t="shared" si="3"/>
        <v/>
      </c>
    </row>
    <row r="15" spans="1:9" ht="15" customHeight="1" x14ac:dyDescent="0.3">
      <c r="A15" s="26" t="s">
        <v>8</v>
      </c>
      <c r="B15" s="26" t="s">
        <v>22</v>
      </c>
      <c r="C15" s="27">
        <f>EVM!G5</f>
        <v>20000000</v>
      </c>
      <c r="D15" s="28"/>
      <c r="E15" s="29" t="str">
        <f t="shared" si="0"/>
        <v/>
      </c>
      <c r="F15" s="29" t="str">
        <f t="shared" si="1"/>
        <v/>
      </c>
      <c r="G15" s="30">
        <f>Datos!$B$12</f>
        <v>0.01</v>
      </c>
      <c r="H15" s="18" t="str">
        <f t="shared" si="2"/>
        <v>PENDIENTE</v>
      </c>
      <c r="I15" s="31" t="str">
        <f t="shared" si="3"/>
        <v/>
      </c>
    </row>
    <row r="16" spans="1:9" ht="15" customHeight="1" x14ac:dyDescent="0.3">
      <c r="A16" s="26" t="s">
        <v>8</v>
      </c>
      <c r="B16" s="26" t="s">
        <v>23</v>
      </c>
      <c r="C16" s="27">
        <f>EVM!H5</f>
        <v>-5000000</v>
      </c>
      <c r="D16" s="28"/>
      <c r="E16" s="29" t="str">
        <f t="shared" si="0"/>
        <v/>
      </c>
      <c r="F16" s="29" t="str">
        <f t="shared" si="1"/>
        <v/>
      </c>
      <c r="G16" s="30">
        <f>Datos!$B$12</f>
        <v>0.01</v>
      </c>
      <c r="H16" s="18" t="str">
        <f t="shared" si="2"/>
        <v>PENDIENTE</v>
      </c>
      <c r="I16" s="31" t="str">
        <f t="shared" si="3"/>
        <v/>
      </c>
    </row>
    <row r="17" spans="1:9" ht="15" customHeight="1" x14ac:dyDescent="0.3">
      <c r="A17" s="26" t="s">
        <v>8</v>
      </c>
      <c r="B17" s="26" t="s">
        <v>24</v>
      </c>
      <c r="C17" s="27">
        <f>EVM!I5</f>
        <v>-10000000</v>
      </c>
      <c r="D17" s="28"/>
      <c r="E17" s="29" t="str">
        <f t="shared" si="0"/>
        <v/>
      </c>
      <c r="F17" s="29" t="str">
        <f t="shared" si="1"/>
        <v/>
      </c>
      <c r="G17" s="30">
        <f>Datos!$B$12</f>
        <v>0.01</v>
      </c>
      <c r="H17" s="18" t="str">
        <f t="shared" si="2"/>
        <v>PENDIENTE</v>
      </c>
      <c r="I17" s="31" t="str">
        <f t="shared" si="3"/>
        <v/>
      </c>
    </row>
    <row r="18" spans="1:9" ht="15" customHeight="1" x14ac:dyDescent="0.3">
      <c r="A18" s="26" t="s">
        <v>8</v>
      </c>
      <c r="B18" s="26" t="s">
        <v>25</v>
      </c>
      <c r="C18" s="32">
        <f>EVM!J5</f>
        <v>0.8</v>
      </c>
      <c r="D18" s="33"/>
      <c r="E18" s="34" t="str">
        <f t="shared" si="0"/>
        <v/>
      </c>
      <c r="F18" s="34" t="str">
        <f t="shared" si="1"/>
        <v/>
      </c>
      <c r="G18" s="35">
        <f>Datos!$B$11</f>
        <v>1E-4</v>
      </c>
      <c r="H18" s="18" t="str">
        <f t="shared" si="2"/>
        <v>PENDIENTE</v>
      </c>
      <c r="I18" s="31" t="str">
        <f t="shared" si="3"/>
        <v/>
      </c>
    </row>
    <row r="19" spans="1:9" ht="15" customHeight="1" x14ac:dyDescent="0.3">
      <c r="A19" s="26" t="s">
        <v>8</v>
      </c>
      <c r="B19" s="26" t="s">
        <v>26</v>
      </c>
      <c r="C19" s="32">
        <f>EVM!K5</f>
        <v>0.66666666666666663</v>
      </c>
      <c r="D19" s="33"/>
      <c r="E19" s="34" t="str">
        <f t="shared" si="0"/>
        <v/>
      </c>
      <c r="F19" s="34" t="str">
        <f t="shared" si="1"/>
        <v/>
      </c>
      <c r="G19" s="35">
        <f>Datos!$B$11</f>
        <v>1E-4</v>
      </c>
      <c r="H19" s="18" t="str">
        <f t="shared" si="2"/>
        <v>PENDIENTE</v>
      </c>
      <c r="I19" s="31" t="str">
        <f t="shared" si="3"/>
        <v/>
      </c>
    </row>
    <row r="20" spans="1:9" ht="15" customHeight="1" x14ac:dyDescent="0.3">
      <c r="A20" s="26" t="s">
        <v>8</v>
      </c>
      <c r="B20" s="26" t="s">
        <v>27</v>
      </c>
      <c r="C20" s="27">
        <f>EVM!L5</f>
        <v>62500000</v>
      </c>
      <c r="D20" s="28"/>
      <c r="E20" s="29" t="str">
        <f t="shared" si="0"/>
        <v/>
      </c>
      <c r="F20" s="29" t="str">
        <f t="shared" si="1"/>
        <v/>
      </c>
      <c r="G20" s="30">
        <f>Datos!$B$12</f>
        <v>0.01</v>
      </c>
      <c r="H20" s="18" t="str">
        <f t="shared" si="2"/>
        <v>PENDIENTE</v>
      </c>
      <c r="I20" s="31" t="str">
        <f t="shared" si="3"/>
        <v/>
      </c>
    </row>
    <row r="21" spans="1:9" ht="15" customHeight="1" x14ac:dyDescent="0.3">
      <c r="A21" s="26" t="s">
        <v>8</v>
      </c>
      <c r="B21" s="26" t="s">
        <v>28</v>
      </c>
      <c r="C21" s="27">
        <f>EVM!M5</f>
        <v>-12500000</v>
      </c>
      <c r="D21" s="28"/>
      <c r="E21" s="29" t="str">
        <f t="shared" si="0"/>
        <v/>
      </c>
      <c r="F21" s="29" t="str">
        <f t="shared" si="1"/>
        <v/>
      </c>
      <c r="G21" s="30">
        <f>Datos!$B$12</f>
        <v>0.01</v>
      </c>
      <c r="H21" s="18" t="str">
        <f t="shared" si="2"/>
        <v>PENDIENTE</v>
      </c>
      <c r="I21" s="31" t="str">
        <f t="shared" si="3"/>
        <v/>
      </c>
    </row>
    <row r="22" spans="1:9" ht="15" customHeight="1" x14ac:dyDescent="0.3">
      <c r="A22" s="36" t="s">
        <v>9</v>
      </c>
      <c r="B22" s="36" t="s">
        <v>21</v>
      </c>
      <c r="C22" s="37">
        <f>EVM!F6</f>
        <v>2000000</v>
      </c>
      <c r="D22" s="38"/>
      <c r="E22" s="39" t="str">
        <f t="shared" si="0"/>
        <v/>
      </c>
      <c r="F22" s="39" t="str">
        <f t="shared" si="1"/>
        <v/>
      </c>
      <c r="G22" s="40">
        <f>Datos!$B$12</f>
        <v>0.01</v>
      </c>
      <c r="H22" s="41" t="str">
        <f t="shared" si="2"/>
        <v>PENDIENTE</v>
      </c>
      <c r="I22" s="42" t="str">
        <f t="shared" si="3"/>
        <v/>
      </c>
    </row>
    <row r="23" spans="1:9" ht="15" customHeight="1" x14ac:dyDescent="0.3">
      <c r="A23" s="26" t="s">
        <v>9</v>
      </c>
      <c r="B23" s="26" t="s">
        <v>22</v>
      </c>
      <c r="C23" s="27">
        <f>EVM!G6</f>
        <v>3000000</v>
      </c>
      <c r="D23" s="28"/>
      <c r="E23" s="29" t="str">
        <f t="shared" si="0"/>
        <v/>
      </c>
      <c r="F23" s="29" t="str">
        <f t="shared" si="1"/>
        <v/>
      </c>
      <c r="G23" s="30">
        <f>Datos!$B$12</f>
        <v>0.01</v>
      </c>
      <c r="H23" s="18" t="str">
        <f t="shared" si="2"/>
        <v>PENDIENTE</v>
      </c>
      <c r="I23" s="31" t="str">
        <f t="shared" si="3"/>
        <v/>
      </c>
    </row>
    <row r="24" spans="1:9" ht="15" customHeight="1" x14ac:dyDescent="0.3">
      <c r="A24" s="26" t="s">
        <v>9</v>
      </c>
      <c r="B24" s="26" t="s">
        <v>23</v>
      </c>
      <c r="C24" s="27">
        <f>EVM!H6</f>
        <v>1000000</v>
      </c>
      <c r="D24" s="28"/>
      <c r="E24" s="29" t="str">
        <f t="shared" si="0"/>
        <v/>
      </c>
      <c r="F24" s="29" t="str">
        <f t="shared" si="1"/>
        <v/>
      </c>
      <c r="G24" s="30">
        <f>Datos!$B$12</f>
        <v>0.01</v>
      </c>
      <c r="H24" s="18" t="str">
        <f t="shared" si="2"/>
        <v>PENDIENTE</v>
      </c>
      <c r="I24" s="31" t="str">
        <f t="shared" si="3"/>
        <v/>
      </c>
    </row>
    <row r="25" spans="1:9" ht="15" customHeight="1" x14ac:dyDescent="0.3">
      <c r="A25" s="26" t="s">
        <v>9</v>
      </c>
      <c r="B25" s="26" t="s">
        <v>24</v>
      </c>
      <c r="C25" s="27">
        <f>EVM!I6</f>
        <v>1000000</v>
      </c>
      <c r="D25" s="28"/>
      <c r="E25" s="29" t="str">
        <f t="shared" si="0"/>
        <v/>
      </c>
      <c r="F25" s="29" t="str">
        <f t="shared" si="1"/>
        <v/>
      </c>
      <c r="G25" s="30">
        <f>Datos!$B$12</f>
        <v>0.01</v>
      </c>
      <c r="H25" s="18" t="str">
        <f t="shared" si="2"/>
        <v>PENDIENTE</v>
      </c>
      <c r="I25" s="31" t="str">
        <f t="shared" si="3"/>
        <v/>
      </c>
    </row>
    <row r="26" spans="1:9" ht="15" customHeight="1" x14ac:dyDescent="0.3">
      <c r="A26" s="26" t="s">
        <v>9</v>
      </c>
      <c r="B26" s="26" t="s">
        <v>25</v>
      </c>
      <c r="C26" s="32">
        <f>EVM!J6</f>
        <v>1.5</v>
      </c>
      <c r="D26" s="33"/>
      <c r="E26" s="34" t="str">
        <f t="shared" si="0"/>
        <v/>
      </c>
      <c r="F26" s="34" t="str">
        <f t="shared" si="1"/>
        <v/>
      </c>
      <c r="G26" s="35">
        <f>Datos!$B$11</f>
        <v>1E-4</v>
      </c>
      <c r="H26" s="18" t="str">
        <f t="shared" si="2"/>
        <v>PENDIENTE</v>
      </c>
      <c r="I26" s="31" t="str">
        <f t="shared" si="3"/>
        <v/>
      </c>
    </row>
    <row r="27" spans="1:9" ht="15" customHeight="1" x14ac:dyDescent="0.3">
      <c r="A27" s="26" t="s">
        <v>9</v>
      </c>
      <c r="B27" s="26" t="s">
        <v>26</v>
      </c>
      <c r="C27" s="32">
        <f>EVM!K6</f>
        <v>1.5</v>
      </c>
      <c r="D27" s="33"/>
      <c r="E27" s="34" t="str">
        <f t="shared" si="0"/>
        <v/>
      </c>
      <c r="F27" s="34" t="str">
        <f t="shared" si="1"/>
        <v/>
      </c>
      <c r="G27" s="35">
        <f>Datos!$B$11</f>
        <v>1E-4</v>
      </c>
      <c r="H27" s="18" t="str">
        <f t="shared" si="2"/>
        <v>PENDIENTE</v>
      </c>
      <c r="I27" s="31" t="str">
        <f t="shared" si="3"/>
        <v/>
      </c>
    </row>
    <row r="28" spans="1:9" ht="15" customHeight="1" x14ac:dyDescent="0.3">
      <c r="A28" s="26" t="s">
        <v>9</v>
      </c>
      <c r="B28" s="26" t="s">
        <v>27</v>
      </c>
      <c r="C28" s="27">
        <f>EVM!L6</f>
        <v>6666666.666666667</v>
      </c>
      <c r="D28" s="28"/>
      <c r="E28" s="29" t="str">
        <f t="shared" si="0"/>
        <v/>
      </c>
      <c r="F28" s="29" t="str">
        <f t="shared" si="1"/>
        <v/>
      </c>
      <c r="G28" s="30">
        <f>Datos!$B$12</f>
        <v>0.01</v>
      </c>
      <c r="H28" s="18" t="str">
        <f t="shared" si="2"/>
        <v>PENDIENTE</v>
      </c>
      <c r="I28" s="31" t="str">
        <f t="shared" si="3"/>
        <v/>
      </c>
    </row>
    <row r="29" spans="1:9" ht="15" customHeight="1" x14ac:dyDescent="0.3">
      <c r="A29" s="26" t="s">
        <v>9</v>
      </c>
      <c r="B29" s="26" t="s">
        <v>28</v>
      </c>
      <c r="C29" s="27">
        <f>EVM!M6</f>
        <v>3333333.333333333</v>
      </c>
      <c r="D29" s="28"/>
      <c r="E29" s="29" t="str">
        <f t="shared" si="0"/>
        <v/>
      </c>
      <c r="F29" s="29" t="str">
        <f t="shared" si="1"/>
        <v/>
      </c>
      <c r="G29" s="30">
        <f>Datos!$B$12</f>
        <v>0.01</v>
      </c>
      <c r="H29" s="18" t="str">
        <f t="shared" si="2"/>
        <v>PENDIENTE</v>
      </c>
      <c r="I29" s="31" t="str">
        <f t="shared" si="3"/>
        <v/>
      </c>
    </row>
    <row r="30" spans="1:9" ht="15" customHeight="1" x14ac:dyDescent="0.3">
      <c r="A30" s="36" t="s">
        <v>10</v>
      </c>
      <c r="B30" s="36" t="s">
        <v>21</v>
      </c>
      <c r="C30" s="37">
        <f>EVM!F7</f>
        <v>0</v>
      </c>
      <c r="D30" s="38"/>
      <c r="E30" s="39" t="str">
        <f t="shared" si="0"/>
        <v/>
      </c>
      <c r="F30" s="39" t="str">
        <f t="shared" si="1"/>
        <v/>
      </c>
      <c r="G30" s="40">
        <f>Datos!$B$12</f>
        <v>0.01</v>
      </c>
      <c r="H30" s="41" t="str">
        <f t="shared" si="2"/>
        <v>PENDIENTE</v>
      </c>
      <c r="I30" s="42" t="str">
        <f t="shared" si="3"/>
        <v/>
      </c>
    </row>
    <row r="31" spans="1:9" ht="15" customHeight="1" x14ac:dyDescent="0.3">
      <c r="A31" s="26" t="s">
        <v>10</v>
      </c>
      <c r="B31" s="26" t="s">
        <v>22</v>
      </c>
      <c r="C31" s="27">
        <f>EVM!G7</f>
        <v>0</v>
      </c>
      <c r="D31" s="28"/>
      <c r="E31" s="29" t="str">
        <f t="shared" si="0"/>
        <v/>
      </c>
      <c r="F31" s="29" t="str">
        <f t="shared" si="1"/>
        <v/>
      </c>
      <c r="G31" s="30">
        <f>Datos!$B$12</f>
        <v>0.01</v>
      </c>
      <c r="H31" s="18" t="str">
        <f t="shared" si="2"/>
        <v>PENDIENTE</v>
      </c>
      <c r="I31" s="31" t="str">
        <f t="shared" si="3"/>
        <v/>
      </c>
    </row>
    <row r="32" spans="1:9" ht="15" customHeight="1" x14ac:dyDescent="0.3">
      <c r="A32" s="26" t="s">
        <v>10</v>
      </c>
      <c r="B32" s="26" t="s">
        <v>23</v>
      </c>
      <c r="C32" s="27">
        <f>EVM!H7</f>
        <v>0</v>
      </c>
      <c r="D32" s="28"/>
      <c r="E32" s="29" t="str">
        <f t="shared" si="0"/>
        <v/>
      </c>
      <c r="F32" s="29" t="str">
        <f t="shared" si="1"/>
        <v/>
      </c>
      <c r="G32" s="30">
        <f>Datos!$B$12</f>
        <v>0.01</v>
      </c>
      <c r="H32" s="18" t="str">
        <f t="shared" si="2"/>
        <v>PENDIENTE</v>
      </c>
      <c r="I32" s="31" t="str">
        <f t="shared" si="3"/>
        <v/>
      </c>
    </row>
    <row r="33" spans="1:9" ht="15" customHeight="1" x14ac:dyDescent="0.3">
      <c r="A33" s="26" t="s">
        <v>10</v>
      </c>
      <c r="B33" s="26" t="s">
        <v>24</v>
      </c>
      <c r="C33" s="27">
        <f>EVM!I7</f>
        <v>0</v>
      </c>
      <c r="D33" s="28"/>
      <c r="E33" s="29" t="str">
        <f t="shared" si="0"/>
        <v/>
      </c>
      <c r="F33" s="29" t="str">
        <f t="shared" si="1"/>
        <v/>
      </c>
      <c r="G33" s="30">
        <f>Datos!$B$12</f>
        <v>0.01</v>
      </c>
      <c r="H33" s="18" t="str">
        <f t="shared" si="2"/>
        <v>PENDIENTE</v>
      </c>
      <c r="I33" s="31" t="str">
        <f t="shared" si="3"/>
        <v/>
      </c>
    </row>
    <row r="34" spans="1:9" ht="15" customHeight="1" x14ac:dyDescent="0.3">
      <c r="A34" s="26" t="s">
        <v>10</v>
      </c>
      <c r="B34" s="26" t="s">
        <v>25</v>
      </c>
      <c r="C34" s="32" t="str">
        <f>EVM!J7</f>
        <v>N/A</v>
      </c>
      <c r="D34" s="33"/>
      <c r="E34" s="34" t="str">
        <f t="shared" si="0"/>
        <v/>
      </c>
      <c r="F34" s="34" t="str">
        <f t="shared" si="1"/>
        <v/>
      </c>
      <c r="G34" s="35">
        <f>Datos!$B$11</f>
        <v>1E-4</v>
      </c>
      <c r="H34" s="18" t="str">
        <f t="shared" si="2"/>
        <v>PENDIENTE</v>
      </c>
      <c r="I34" s="31" t="str">
        <f t="shared" si="3"/>
        <v/>
      </c>
    </row>
    <row r="35" spans="1:9" ht="15" customHeight="1" x14ac:dyDescent="0.3">
      <c r="A35" s="26" t="s">
        <v>10</v>
      </c>
      <c r="B35" s="26" t="s">
        <v>26</v>
      </c>
      <c r="C35" s="32" t="str">
        <f>EVM!K7</f>
        <v>N/A</v>
      </c>
      <c r="D35" s="33"/>
      <c r="E35" s="34" t="str">
        <f t="shared" si="0"/>
        <v/>
      </c>
      <c r="F35" s="34" t="str">
        <f t="shared" si="1"/>
        <v/>
      </c>
      <c r="G35" s="35">
        <f>Datos!$B$11</f>
        <v>1E-4</v>
      </c>
      <c r="H35" s="18" t="str">
        <f t="shared" si="2"/>
        <v>PENDIENTE</v>
      </c>
      <c r="I35" s="31" t="str">
        <f t="shared" si="3"/>
        <v/>
      </c>
    </row>
    <row r="36" spans="1:9" ht="15" customHeight="1" x14ac:dyDescent="0.3">
      <c r="A36" s="26" t="s">
        <v>10</v>
      </c>
      <c r="B36" s="26" t="s">
        <v>27</v>
      </c>
      <c r="C36" s="27" t="str">
        <f>EVM!L7</f>
        <v>N/A</v>
      </c>
      <c r="D36" s="28"/>
      <c r="E36" s="29" t="str">
        <f t="shared" si="0"/>
        <v/>
      </c>
      <c r="F36" s="29" t="str">
        <f t="shared" si="1"/>
        <v/>
      </c>
      <c r="G36" s="30">
        <f>Datos!$B$12</f>
        <v>0.01</v>
      </c>
      <c r="H36" s="18" t="str">
        <f t="shared" si="2"/>
        <v>PENDIENTE</v>
      </c>
      <c r="I36" s="31" t="str">
        <f t="shared" si="3"/>
        <v/>
      </c>
    </row>
    <row r="37" spans="1:9" ht="15" customHeight="1" x14ac:dyDescent="0.3">
      <c r="A37" s="26" t="s">
        <v>10</v>
      </c>
      <c r="B37" s="26" t="s">
        <v>28</v>
      </c>
      <c r="C37" s="27" t="str">
        <f>EVM!M7</f>
        <v>N/A</v>
      </c>
      <c r="D37" s="28"/>
      <c r="E37" s="29" t="str">
        <f t="shared" si="0"/>
        <v/>
      </c>
      <c r="F37" s="29" t="str">
        <f t="shared" si="1"/>
        <v/>
      </c>
      <c r="G37" s="30">
        <f>Datos!$B$12</f>
        <v>0.01</v>
      </c>
      <c r="H37" s="18" t="str">
        <f t="shared" si="2"/>
        <v>PENDIENTE</v>
      </c>
      <c r="I37" s="31" t="str">
        <f t="shared" si="3"/>
        <v/>
      </c>
    </row>
    <row r="38" spans="1:9" ht="15" customHeight="1" x14ac:dyDescent="0.3">
      <c r="A38" s="36" t="s">
        <v>59</v>
      </c>
      <c r="B38" s="36" t="s">
        <v>21</v>
      </c>
      <c r="C38" s="37">
        <f>EVM!F8</f>
        <v>52000000</v>
      </c>
      <c r="D38" s="38"/>
      <c r="E38" s="39" t="str">
        <f t="shared" si="0"/>
        <v/>
      </c>
      <c r="F38" s="39" t="str">
        <f t="shared" si="1"/>
        <v/>
      </c>
      <c r="G38" s="40">
        <f>Datos!$B$12</f>
        <v>0.01</v>
      </c>
      <c r="H38" s="41" t="str">
        <f t="shared" si="2"/>
        <v>PENDIENTE</v>
      </c>
      <c r="I38" s="42" t="str">
        <f t="shared" si="3"/>
        <v/>
      </c>
    </row>
    <row r="39" spans="1:9" ht="15" customHeight="1" x14ac:dyDescent="0.3">
      <c r="A39" s="26" t="s">
        <v>59</v>
      </c>
      <c r="B39" s="26" t="s">
        <v>22</v>
      </c>
      <c r="C39" s="27">
        <f>EVM!G8</f>
        <v>43000000</v>
      </c>
      <c r="D39" s="28"/>
      <c r="E39" s="29" t="str">
        <f t="shared" si="0"/>
        <v/>
      </c>
      <c r="F39" s="29" t="str">
        <f t="shared" si="1"/>
        <v/>
      </c>
      <c r="G39" s="30">
        <f>Datos!$B$12</f>
        <v>0.01</v>
      </c>
      <c r="H39" s="18" t="str">
        <f t="shared" si="2"/>
        <v>PENDIENTE</v>
      </c>
      <c r="I39" s="31" t="str">
        <f t="shared" si="3"/>
        <v/>
      </c>
    </row>
    <row r="40" spans="1:9" ht="15" customHeight="1" x14ac:dyDescent="0.3">
      <c r="A40" s="26" t="s">
        <v>59</v>
      </c>
      <c r="B40" s="26" t="s">
        <v>23</v>
      </c>
      <c r="C40" s="27">
        <f>EVM!H8</f>
        <v>-2000000</v>
      </c>
      <c r="D40" s="28"/>
      <c r="E40" s="29" t="str">
        <f t="shared" si="0"/>
        <v/>
      </c>
      <c r="F40" s="29" t="str">
        <f t="shared" si="1"/>
        <v/>
      </c>
      <c r="G40" s="30">
        <f>Datos!$B$12</f>
        <v>0.01</v>
      </c>
      <c r="H40" s="18" t="str">
        <f t="shared" si="2"/>
        <v>PENDIENTE</v>
      </c>
      <c r="I40" s="31" t="str">
        <f t="shared" si="3"/>
        <v/>
      </c>
    </row>
    <row r="41" spans="1:9" ht="15" customHeight="1" x14ac:dyDescent="0.3">
      <c r="A41" s="26" t="s">
        <v>59</v>
      </c>
      <c r="B41" s="26" t="s">
        <v>24</v>
      </c>
      <c r="C41" s="27">
        <f>EVM!I8</f>
        <v>-9000000</v>
      </c>
      <c r="D41" s="28"/>
      <c r="E41" s="29" t="str">
        <f t="shared" si="0"/>
        <v/>
      </c>
      <c r="F41" s="29" t="str">
        <f t="shared" si="1"/>
        <v/>
      </c>
      <c r="G41" s="30">
        <f>Datos!$B$12</f>
        <v>0.01</v>
      </c>
      <c r="H41" s="18" t="str">
        <f t="shared" si="2"/>
        <v>PENDIENTE</v>
      </c>
      <c r="I41" s="31" t="str">
        <f t="shared" si="3"/>
        <v/>
      </c>
    </row>
    <row r="42" spans="1:9" ht="15" customHeight="1" x14ac:dyDescent="0.3">
      <c r="A42" s="26" t="s">
        <v>59</v>
      </c>
      <c r="B42" s="26" t="s">
        <v>25</v>
      </c>
      <c r="C42" s="32">
        <f>EVM!J8</f>
        <v>0.9555555555555556</v>
      </c>
      <c r="D42" s="33"/>
      <c r="E42" s="34" t="str">
        <f t="shared" si="0"/>
        <v/>
      </c>
      <c r="F42" s="34" t="str">
        <f t="shared" si="1"/>
        <v/>
      </c>
      <c r="G42" s="35">
        <f>Datos!$B$11</f>
        <v>1E-4</v>
      </c>
      <c r="H42" s="18" t="str">
        <f t="shared" si="2"/>
        <v>PENDIENTE</v>
      </c>
      <c r="I42" s="31" t="str">
        <f t="shared" si="3"/>
        <v/>
      </c>
    </row>
    <row r="43" spans="1:9" ht="15" customHeight="1" x14ac:dyDescent="0.3">
      <c r="A43" s="26" t="s">
        <v>59</v>
      </c>
      <c r="B43" s="26" t="s">
        <v>26</v>
      </c>
      <c r="C43" s="32">
        <f>EVM!K8</f>
        <v>0.82692307692307687</v>
      </c>
      <c r="D43" s="33"/>
      <c r="E43" s="34" t="str">
        <f t="shared" si="0"/>
        <v/>
      </c>
      <c r="F43" s="34" t="str">
        <f t="shared" si="1"/>
        <v/>
      </c>
      <c r="G43" s="35">
        <f>Datos!$B$11</f>
        <v>1E-4</v>
      </c>
      <c r="H43" s="18" t="str">
        <f t="shared" si="2"/>
        <v>PENDIENTE</v>
      </c>
      <c r="I43" s="31" t="str">
        <f t="shared" si="3"/>
        <v/>
      </c>
    </row>
    <row r="44" spans="1:9" ht="15" customHeight="1" x14ac:dyDescent="0.3">
      <c r="A44" s="26" t="s">
        <v>59</v>
      </c>
      <c r="B44" s="26" t="s">
        <v>27</v>
      </c>
      <c r="C44" s="27">
        <f>EVM!L8</f>
        <v>92093023.255813956</v>
      </c>
      <c r="D44" s="28"/>
      <c r="E44" s="29" t="str">
        <f t="shared" si="0"/>
        <v/>
      </c>
      <c r="F44" s="29" t="str">
        <f t="shared" si="1"/>
        <v/>
      </c>
      <c r="G44" s="30">
        <f>Datos!$B$12</f>
        <v>0.01</v>
      </c>
      <c r="H44" s="18" t="str">
        <f t="shared" si="2"/>
        <v>PENDIENTE</v>
      </c>
      <c r="I44" s="31" t="str">
        <f t="shared" si="3"/>
        <v/>
      </c>
    </row>
    <row r="45" spans="1:9" ht="15" customHeight="1" x14ac:dyDescent="0.3">
      <c r="A45" s="26" t="s">
        <v>59</v>
      </c>
      <c r="B45" s="26" t="s">
        <v>28</v>
      </c>
      <c r="C45" s="27">
        <f>EVM!M8</f>
        <v>-4093023.2558139563</v>
      </c>
      <c r="D45" s="28"/>
      <c r="E45" s="29" t="str">
        <f t="shared" si="0"/>
        <v/>
      </c>
      <c r="F45" s="29" t="str">
        <f t="shared" si="1"/>
        <v/>
      </c>
      <c r="G45" s="30">
        <f>Datos!$B$12</f>
        <v>0.01</v>
      </c>
      <c r="H45" s="18" t="str">
        <f t="shared" si="2"/>
        <v>PENDIENTE</v>
      </c>
      <c r="I45" s="31" t="str">
        <f t="shared" si="3"/>
        <v/>
      </c>
    </row>
  </sheetData>
  <conditionalFormatting sqref="H6:H45">
    <cfRule type="expression" dxfId="2" priority="2">
      <formula>H6="OK"</formula>
    </cfRule>
    <cfRule type="expression" dxfId="1" priority="3">
      <formula>H6="DIFERENCIA"</formula>
    </cfRule>
    <cfRule type="expression" dxfId="0" priority="4">
      <formula>H6="PENDIENTE"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zoomScaleNormal="100" workbookViewId="0"/>
  </sheetViews>
  <sheetFormatPr baseColWidth="10" defaultColWidth="8.6640625" defaultRowHeight="14.4" x14ac:dyDescent="0.3"/>
  <cols>
    <col min="1" max="1" width="100" customWidth="1"/>
  </cols>
  <sheetData>
    <row r="1" spans="1:1" ht="17.399999999999999" customHeight="1" x14ac:dyDescent="0.35">
      <c r="A1" s="1" t="s">
        <v>60</v>
      </c>
    </row>
    <row r="2" spans="1:1" x14ac:dyDescent="0.3">
      <c r="A2" s="2"/>
    </row>
    <row r="3" spans="1:1" ht="23.85" customHeight="1" x14ac:dyDescent="0.3">
      <c r="A3" s="43" t="s">
        <v>61</v>
      </c>
    </row>
    <row r="4" spans="1:1" ht="15" customHeight="1" x14ac:dyDescent="0.3">
      <c r="A4" s="43" t="s">
        <v>62</v>
      </c>
    </row>
    <row r="5" spans="1:1" ht="15" customHeight="1" x14ac:dyDescent="0.3">
      <c r="A5" s="43" t="s">
        <v>63</v>
      </c>
    </row>
    <row r="6" spans="1:1" ht="15" customHeight="1" x14ac:dyDescent="0.3">
      <c r="A6" s="43" t="s">
        <v>64</v>
      </c>
    </row>
    <row r="7" spans="1:1" ht="15" customHeight="1" x14ac:dyDescent="0.3">
      <c r="A7" s="43" t="s">
        <v>65</v>
      </c>
    </row>
    <row r="8" spans="1:1" ht="15" customHeight="1" x14ac:dyDescent="0.3">
      <c r="A8" s="43" t="s">
        <v>66</v>
      </c>
    </row>
    <row r="9" spans="1:1" ht="23.85" customHeight="1" x14ac:dyDescent="0.3">
      <c r="A9" s="43" t="s">
        <v>67</v>
      </c>
    </row>
    <row r="10" spans="1:1" ht="15" customHeight="1" x14ac:dyDescent="0.3">
      <c r="A10" s="43"/>
    </row>
    <row r="11" spans="1:1" ht="23.85" customHeight="1" x14ac:dyDescent="0.3">
      <c r="A11" s="43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</vt:lpstr>
      <vt:lpstr>EVM</vt:lpstr>
      <vt:lpstr>Comparación API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caste</dc:creator>
  <cp:lastModifiedBy>juan caste</cp:lastModifiedBy>
  <cp:revision>0</cp:revision>
  <dcterms:created xsi:type="dcterms:W3CDTF">2026-10-04T03:38:14Z</dcterms:created>
  <dcterms:modified xsi:type="dcterms:W3CDTF">2026-10-05T01:30:42Z</dcterms:modified>
  <dc:language>es-CO</dc:language>
</cp:coreProperties>
</file>