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ycore test\EVM-test-\docs\"/>
    </mc:Choice>
  </mc:AlternateContent>
  <xr:revisionPtr revIDLastSave="0" documentId="13_ncr:1_{B9AAB37E-A5BD-4FFE-8DD1-DFCB603749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os" sheetId="1" r:id="rId1"/>
    <sheet name="EVM" sheetId="2" r:id="rId2"/>
    <sheet name="Comparación AP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3" l="1"/>
  <c r="F50" i="3"/>
  <c r="F49" i="3"/>
  <c r="F48" i="3"/>
  <c r="F47" i="3"/>
  <c r="F46" i="3"/>
  <c r="F45" i="3"/>
  <c r="F44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A7" i="2"/>
  <c r="A34" i="3" s="1"/>
  <c r="A6" i="2"/>
  <c r="C6" i="2" s="1"/>
  <c r="A5" i="2"/>
  <c r="A18" i="3" s="1"/>
  <c r="A4" i="2"/>
  <c r="A8" i="3" s="1"/>
  <c r="A2" i="2"/>
  <c r="B7" i="2" l="1"/>
  <c r="A14" i="3"/>
  <c r="C7" i="2"/>
  <c r="A19" i="3"/>
  <c r="A42" i="3"/>
  <c r="E4" i="2"/>
  <c r="C8" i="3" s="1"/>
  <c r="A16" i="3"/>
  <c r="A30" i="3"/>
  <c r="E8" i="3"/>
  <c r="G8" i="3"/>
  <c r="C5" i="2"/>
  <c r="E6" i="2"/>
  <c r="C26" i="3" s="1"/>
  <c r="G7" i="2"/>
  <c r="C37" i="3" s="1"/>
  <c r="E37" i="3" s="1"/>
  <c r="A15" i="3"/>
  <c r="A31" i="3"/>
  <c r="B5" i="2"/>
  <c r="D6" i="2"/>
  <c r="F7" i="2"/>
  <c r="C36" i="3" s="1"/>
  <c r="E36" i="3" s="1"/>
  <c r="B4" i="2"/>
  <c r="D5" i="2"/>
  <c r="H7" i="2"/>
  <c r="A12" i="3"/>
  <c r="A28" i="3"/>
  <c r="A41" i="3"/>
  <c r="E7" i="2"/>
  <c r="C35" i="3" s="1"/>
  <c r="E35" i="3" s="1"/>
  <c r="C4" i="2"/>
  <c r="E5" i="2"/>
  <c r="F5" i="2" s="1"/>
  <c r="C18" i="3" s="1"/>
  <c r="I7" i="2"/>
  <c r="A9" i="3"/>
  <c r="A25" i="3"/>
  <c r="D4" i="2"/>
  <c r="H6" i="2"/>
  <c r="A22" i="3"/>
  <c r="A38" i="3"/>
  <c r="A35" i="3"/>
  <c r="A32" i="3"/>
  <c r="A13" i="3"/>
  <c r="A29" i="3"/>
  <c r="A39" i="3"/>
  <c r="A36" i="3"/>
  <c r="A10" i="3"/>
  <c r="A26" i="3"/>
  <c r="A7" i="3"/>
  <c r="A23" i="3"/>
  <c r="A20" i="3"/>
  <c r="A17" i="3"/>
  <c r="A33" i="3"/>
  <c r="A40" i="3"/>
  <c r="A37" i="3"/>
  <c r="A11" i="3"/>
  <c r="A27" i="3"/>
  <c r="B6" i="2"/>
  <c r="D7" i="2"/>
  <c r="C34" i="3" s="1"/>
  <c r="E34" i="3" s="1"/>
  <c r="A24" i="3"/>
  <c r="A21" i="3"/>
  <c r="B8" i="2" l="1"/>
  <c r="F6" i="2"/>
  <c r="C27" i="3" s="1"/>
  <c r="E8" i="2"/>
  <c r="C44" i="3" s="1"/>
  <c r="F4" i="2"/>
  <c r="G6" i="2"/>
  <c r="C28" i="3" s="1"/>
  <c r="G28" i="3"/>
  <c r="E28" i="3"/>
  <c r="E27" i="3"/>
  <c r="G27" i="3"/>
  <c r="G44" i="3"/>
  <c r="E44" i="3"/>
  <c r="I5" i="2"/>
  <c r="C16" i="3"/>
  <c r="G18" i="3"/>
  <c r="E18" i="3"/>
  <c r="D8" i="2"/>
  <c r="C7" i="3"/>
  <c r="N7" i="2"/>
  <c r="C39" i="3"/>
  <c r="E39" i="3" s="1"/>
  <c r="C17" i="3"/>
  <c r="G5" i="2"/>
  <c r="C19" i="3" s="1"/>
  <c r="E26" i="3"/>
  <c r="G26" i="3"/>
  <c r="F8" i="2"/>
  <c r="C45" i="3" s="1"/>
  <c r="C9" i="3"/>
  <c r="H5" i="2"/>
  <c r="M7" i="2"/>
  <c r="C38" i="3"/>
  <c r="E38" i="3" s="1"/>
  <c r="J7" i="2"/>
  <c r="M6" i="2"/>
  <c r="C29" i="3"/>
  <c r="J6" i="2"/>
  <c r="I4" i="2"/>
  <c r="C8" i="2"/>
  <c r="H4" i="2"/>
  <c r="G4" i="2"/>
  <c r="I6" i="2"/>
  <c r="C25" i="3"/>
  <c r="H8" i="2" l="1"/>
  <c r="G17" i="3"/>
  <c r="E17" i="3"/>
  <c r="C30" i="3"/>
  <c r="N6" i="2"/>
  <c r="C47" i="3"/>
  <c r="M8" i="2"/>
  <c r="J8" i="2"/>
  <c r="G29" i="3"/>
  <c r="E29" i="3"/>
  <c r="C20" i="3"/>
  <c r="M5" i="2"/>
  <c r="J5" i="2"/>
  <c r="G19" i="3"/>
  <c r="E19" i="3"/>
  <c r="C11" i="3"/>
  <c r="M4" i="2"/>
  <c r="J4" i="2"/>
  <c r="G16" i="3"/>
  <c r="E16" i="3"/>
  <c r="E9" i="3"/>
  <c r="G9" i="3"/>
  <c r="G8" i="2"/>
  <c r="C46" i="3" s="1"/>
  <c r="C10" i="3"/>
  <c r="N4" i="2"/>
  <c r="C12" i="3"/>
  <c r="L6" i="2"/>
  <c r="C33" i="3" s="1"/>
  <c r="C31" i="3"/>
  <c r="K6" i="2"/>
  <c r="C32" i="3" s="1"/>
  <c r="G7" i="3"/>
  <c r="E7" i="3"/>
  <c r="I8" i="2"/>
  <c r="C43" i="3"/>
  <c r="L7" i="2"/>
  <c r="C42" i="3" s="1"/>
  <c r="E42" i="3" s="1"/>
  <c r="K7" i="2"/>
  <c r="C41" i="3" s="1"/>
  <c r="E41" i="3" s="1"/>
  <c r="C40" i="3"/>
  <c r="E40" i="3" s="1"/>
  <c r="C21" i="3"/>
  <c r="N5" i="2"/>
  <c r="G45" i="3"/>
  <c r="E45" i="3"/>
  <c r="E25" i="3"/>
  <c r="G25" i="3"/>
  <c r="G43" i="3" l="1"/>
  <c r="E43" i="3"/>
  <c r="E33" i="3"/>
  <c r="G33" i="3"/>
  <c r="L5" i="2"/>
  <c r="C24" i="3" s="1"/>
  <c r="K5" i="2"/>
  <c r="C23" i="3" s="1"/>
  <c r="C22" i="3"/>
  <c r="C49" i="3"/>
  <c r="L8" i="2"/>
  <c r="C51" i="3" s="1"/>
  <c r="K8" i="2"/>
  <c r="C50" i="3" s="1"/>
  <c r="C48" i="3"/>
  <c r="N8" i="2"/>
  <c r="E32" i="3"/>
  <c r="G32" i="3"/>
  <c r="G31" i="3"/>
  <c r="E31" i="3"/>
  <c r="G20" i="3"/>
  <c r="E20" i="3"/>
  <c r="G47" i="3"/>
  <c r="E47" i="3"/>
  <c r="E11" i="3"/>
  <c r="G11" i="3"/>
  <c r="G12" i="3"/>
  <c r="E12" i="3"/>
  <c r="E10" i="3"/>
  <c r="G10" i="3"/>
  <c r="G46" i="3"/>
  <c r="E46" i="3"/>
  <c r="G30" i="3"/>
  <c r="E30" i="3"/>
  <c r="G21" i="3"/>
  <c r="E21" i="3"/>
  <c r="K4" i="2"/>
  <c r="C14" i="3" s="1"/>
  <c r="C13" i="3"/>
  <c r="L4" i="2"/>
  <c r="C15" i="3" s="1"/>
  <c r="G50" i="3" l="1"/>
  <c r="E50" i="3"/>
  <c r="G48" i="3"/>
  <c r="E48" i="3"/>
  <c r="G49" i="3"/>
  <c r="E49" i="3"/>
  <c r="G23" i="3"/>
  <c r="E23" i="3"/>
  <c r="G51" i="3"/>
  <c r="E51" i="3"/>
  <c r="G22" i="3"/>
  <c r="E22" i="3"/>
  <c r="E24" i="3"/>
  <c r="G24" i="3"/>
  <c r="E15" i="3"/>
  <c r="G15" i="3"/>
  <c r="G13" i="3"/>
  <c r="E13" i="3"/>
  <c r="G14" i="3"/>
  <c r="E14" i="3"/>
  <c r="E4" i="3" l="1"/>
  <c r="E3" i="3"/>
  <c r="E2" i="3"/>
</calcChain>
</file>

<file path=xl/sharedStrings.xml><?xml version="1.0" encoding="utf-8"?>
<sst xmlns="http://schemas.openxmlformats.org/spreadsheetml/2006/main" count="102" uniqueCount="50">
  <si>
    <t>EVM - datos de entrada</t>
  </si>
  <si>
    <t>Proyecto:</t>
  </si>
  <si>
    <t>Portal de clientes</t>
  </si>
  <si>
    <t>Fecha de corte:</t>
  </si>
  <si>
    <t>Actividad</t>
  </si>
  <si>
    <t>BAC ($)</t>
  </si>
  <si>
    <t>% planificado</t>
  </si>
  <si>
    <t>% real</t>
  </si>
  <si>
    <t>AC ($)</t>
  </si>
  <si>
    <t>Notas</t>
  </si>
  <si>
    <t>Diseño UX</t>
  </si>
  <si>
    <t>en amarillo lo que se llena (la fila 7 es opcional)</t>
  </si>
  <si>
    <t>Desarrollo backend</t>
  </si>
  <si>
    <t>porcentajes en decimal: 0,45 = 45%</t>
  </si>
  <si>
    <t>Pruebas QA</t>
  </si>
  <si>
    <t>Cálculos EVM</t>
  </si>
  <si>
    <t>PV ($)</t>
  </si>
  <si>
    <t>EV ($)</t>
  </si>
  <si>
    <t>CV ($)</t>
  </si>
  <si>
    <t>SV ($)</t>
  </si>
  <si>
    <t>CPI</t>
  </si>
  <si>
    <t>SPI</t>
  </si>
  <si>
    <t>EAC ($)</t>
  </si>
  <si>
    <t>ETC ($)</t>
  </si>
  <si>
    <t>VAC ($)</t>
  </si>
  <si>
    <t>Estado costo</t>
  </si>
  <si>
    <t>Estado cronograma</t>
  </si>
  <si>
    <t>Total proyecto</t>
  </si>
  <si>
    <t>Excel vs API</t>
  </si>
  <si>
    <t>Tolerancia montos ($)</t>
  </si>
  <si>
    <t>COINCIDE</t>
  </si>
  <si>
    <t>Tolerancia CPI/SPI</t>
  </si>
  <si>
    <t>DIFERENTE</t>
  </si>
  <si>
    <t>PENDIENTE</t>
  </si>
  <si>
    <t>Entidad</t>
  </si>
  <si>
    <t>Métrica</t>
  </si>
  <si>
    <t>Excel</t>
  </si>
  <si>
    <t>API</t>
  </si>
  <si>
    <t>Diferencia</t>
  </si>
  <si>
    <t>Tolerancia</t>
  </si>
  <si>
    <t>Resultado</t>
  </si>
  <si>
    <t>PV</t>
  </si>
  <si>
    <t>EV</t>
  </si>
  <si>
    <t>CV</t>
  </si>
  <si>
    <t>SV</t>
  </si>
  <si>
    <t>EAC</t>
  </si>
  <si>
    <t>ETC</t>
  </si>
  <si>
    <t>VAC</t>
  </si>
  <si>
    <t>null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</si>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</sst>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;\(#,##0\);\-"/>
    <numFmt numFmtId="166" formatCode="#,##0.00;\(#,##0.00\);\-"/>
    <numFmt numFmtId="167" formatCode="0.0000"/>
  </numFmts>
  <fonts count="7" x14ac:knownFonts="1">
    <font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name val="Calibri"/>
      <charset val="1"/>
    </font>
    <font>
      <sz val="11"/>
      <color rgb="FF0000FF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1"/>
      <color rgb="FF008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65" fontId="3" fillId="2" borderId="1" xfId="0" applyNumberFormat="1" applyFont="1" applyFill="1" applyBorder="1"/>
    <xf numFmtId="9" fontId="3" fillId="2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166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2" fillId="4" borderId="1" xfId="0" applyFont="1" applyFill="1" applyBorder="1"/>
    <xf numFmtId="166" fontId="2" fillId="4" borderId="1" xfId="0" applyNumberFormat="1" applyFont="1" applyFill="1" applyBorder="1" applyAlignment="1">
      <alignment horizontal="right"/>
    </xf>
    <xf numFmtId="167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7" fontId="3" fillId="2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167" fontId="5" fillId="0" borderId="1" xfId="0" applyNumberFormat="1" applyFont="1" applyBorder="1"/>
    <xf numFmtId="167" fontId="6" fillId="0" borderId="1" xfId="0" applyNumberFormat="1" applyFont="1" applyBorder="1" applyAlignment="1">
      <alignment horizontal="right"/>
    </xf>
    <xf numFmtId="167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7"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/>
  </sheetViews>
  <sheetFormatPr baseColWidth="10" defaultColWidth="8.6640625" defaultRowHeight="14.4" x14ac:dyDescent="0.3"/>
  <cols>
    <col min="1" max="1" width="26" customWidth="1"/>
    <col min="2" max="3" width="16" customWidth="1"/>
    <col min="4" max="4" width="12" customWidth="1"/>
    <col min="5" max="5" width="16" customWidth="1"/>
    <col min="7" max="7" width="50" customWidth="1"/>
  </cols>
  <sheetData>
    <row r="1" spans="1:7" ht="15.6" customHeight="1" x14ac:dyDescent="0.3">
      <c r="A1" s="1" t="s">
        <v>0</v>
      </c>
    </row>
    <row r="2" spans="1:7" x14ac:dyDescent="0.3">
      <c r="A2" s="2" t="s">
        <v>1</v>
      </c>
      <c r="B2" s="3" t="s">
        <v>2</v>
      </c>
      <c r="C2" s="4" t="s">
        <v>3</v>
      </c>
      <c r="D2" s="5">
        <v>46298</v>
      </c>
    </row>
    <row r="3" spans="1:7" ht="27.75" customHeigh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G3" s="2" t="s">
        <v>9</v>
      </c>
    </row>
    <row r="4" spans="1:7" x14ac:dyDescent="0.3">
      <c r="A4" s="7" t="s">
        <v>10</v>
      </c>
      <c r="B4" s="8">
        <v>8000000</v>
      </c>
      <c r="C4" s="9">
        <v>1</v>
      </c>
      <c r="D4" s="9">
        <v>1</v>
      </c>
      <c r="E4" s="8">
        <v>7200000</v>
      </c>
      <c r="G4" s="10" t="s">
        <v>11</v>
      </c>
    </row>
    <row r="5" spans="1:7" x14ac:dyDescent="0.3">
      <c r="A5" s="7" t="s">
        <v>12</v>
      </c>
      <c r="B5" s="8">
        <v>20000000</v>
      </c>
      <c r="C5" s="9">
        <v>0.6</v>
      </c>
      <c r="D5" s="9">
        <v>0.45</v>
      </c>
      <c r="E5" s="8">
        <v>12000000</v>
      </c>
      <c r="G5" s="10" t="s">
        <v>13</v>
      </c>
    </row>
    <row r="6" spans="1:7" x14ac:dyDescent="0.3">
      <c r="A6" s="7" t="s">
        <v>14</v>
      </c>
      <c r="B6" s="8">
        <v>6000000</v>
      </c>
      <c r="C6" s="9">
        <v>0.2</v>
      </c>
      <c r="D6" s="9">
        <v>0</v>
      </c>
      <c r="E6" s="8">
        <v>0</v>
      </c>
    </row>
    <row r="7" spans="1:7" x14ac:dyDescent="0.3">
      <c r="A7" s="7"/>
      <c r="B7" s="8"/>
      <c r="C7" s="9"/>
      <c r="D7" s="9"/>
      <c r="E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7" sqref="A7"/>
    </sheetView>
  </sheetViews>
  <sheetFormatPr baseColWidth="10" defaultColWidth="8.6640625" defaultRowHeight="14.4" x14ac:dyDescent="0.3"/>
  <cols>
    <col min="1" max="1" width="24" customWidth="1"/>
    <col min="2" max="7" width="15" customWidth="1"/>
    <col min="8" max="9" width="10" customWidth="1"/>
    <col min="10" max="12" width="16" customWidth="1"/>
    <col min="13" max="13" width="20" customWidth="1"/>
    <col min="14" max="14" width="24" customWidth="1"/>
  </cols>
  <sheetData>
    <row r="1" spans="1:14" ht="15.6" customHeight="1" x14ac:dyDescent="0.3">
      <c r="A1" s="1" t="s">
        <v>15</v>
      </c>
    </row>
    <row r="2" spans="1:14" x14ac:dyDescent="0.3">
      <c r="A2" s="11" t="str">
        <f>Datos!B2&amp;" - corte "&amp;TEXT(Datos!D2,"yyyy-mm-dd")</f>
        <v>Portal de clientes - corte 2026-10-03</v>
      </c>
    </row>
    <row r="3" spans="1:14" ht="30" customHeight="1" x14ac:dyDescent="0.3">
      <c r="A3" s="6" t="s">
        <v>4</v>
      </c>
      <c r="B3" s="6" t="s">
        <v>5</v>
      </c>
      <c r="C3" s="6" t="s">
        <v>8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  <c r="N3" s="6" t="s">
        <v>26</v>
      </c>
    </row>
    <row r="4" spans="1:14" x14ac:dyDescent="0.3">
      <c r="A4" s="12" t="str">
        <f>IF(Datos!A4="","",Datos!A4)</f>
        <v>Diseño UX</v>
      </c>
      <c r="B4" s="13">
        <f>IF($A4="","N/A",Datos!B4)</f>
        <v>8000000</v>
      </c>
      <c r="C4" s="13">
        <f>IF($A4="","N/A",Datos!E4)</f>
        <v>7200000</v>
      </c>
      <c r="D4" s="13">
        <f>IF($A4="","N/A",Datos!B4*Datos!C4)</f>
        <v>8000000</v>
      </c>
      <c r="E4" s="13">
        <f>IF($A4="","N/A",Datos!B4*Datos!D4)</f>
        <v>8000000</v>
      </c>
      <c r="F4" s="13">
        <f>IF($A4="","N/A",E4-C4)</f>
        <v>800000</v>
      </c>
      <c r="G4" s="13">
        <f>IF($A4="","N/A",E4-D4)</f>
        <v>0</v>
      </c>
      <c r="H4" s="14">
        <f>IF($A4="","N/A",IF(C4=0,"N/A",E4/C4))</f>
        <v>1.1111111111111112</v>
      </c>
      <c r="I4" s="14">
        <f>IF($A4="","N/A",IF(D4=0,"N/A",E4/D4))</f>
        <v>1</v>
      </c>
      <c r="J4" s="13">
        <f>IF(ISNUMBER(H4),IF(H4=0,"N/A",B4/H4),"N/A")</f>
        <v>7200000</v>
      </c>
      <c r="K4" s="13">
        <f>IF(ISNUMBER(J4),J4-C4,"N/A")</f>
        <v>0</v>
      </c>
      <c r="L4" s="13">
        <f>IF(ISNUMBER(J4),B4-J4,"N/A")</f>
        <v>800000</v>
      </c>
      <c r="M4" s="15" t="str">
        <f>IF(NOT(ISNUMBER(H4)),IF(A4="","","NOT_APPLICABLE"),IF(ROUND(H4,6)&gt;1,"UNDER_BUDGET",IF(ROUND(H4,6)&lt;1,"OVER_BUDGET","ON_BUDGET")))</f>
        <v>UNDER_BUDGET</v>
      </c>
      <c r="N4" s="15" t="str">
        <f>IF(NOT(ISNUMBER(I4)),IF(A4="","","NOT_APPLICABLE"),IF(ROUND(I4,6)&gt;1,"AHEAD_OF_SCHEDULE",IF(ROUND(I4,6)&lt;1,"BEHIND_SCHEDULE","ON_SCHEDULE")))</f>
        <v>ON_SCHEDULE</v>
      </c>
    </row>
    <row r="5" spans="1:14" x14ac:dyDescent="0.3">
      <c r="A5" s="12" t="str">
        <f>IF(Datos!A5="","",Datos!A5)</f>
        <v>Desarrollo backend</v>
      </c>
      <c r="B5" s="13">
        <f>IF($A5="","N/A",Datos!B5)</f>
        <v>20000000</v>
      </c>
      <c r="C5" s="13">
        <f>IF($A5="","N/A",Datos!E5)</f>
        <v>12000000</v>
      </c>
      <c r="D5" s="13">
        <f>IF($A5="","N/A",Datos!B5*Datos!C5)</f>
        <v>12000000</v>
      </c>
      <c r="E5" s="13">
        <f>IF($A5="","N/A",Datos!B5*Datos!D5)</f>
        <v>9000000</v>
      </c>
      <c r="F5" s="13">
        <f>IF($A5="","N/A",E5-C5)</f>
        <v>-3000000</v>
      </c>
      <c r="G5" s="13">
        <f>IF($A5="","N/A",E5-D5)</f>
        <v>-3000000</v>
      </c>
      <c r="H5" s="14">
        <f>IF($A5="","N/A",IF(C5=0,"N/A",E5/C5))</f>
        <v>0.75</v>
      </c>
      <c r="I5" s="14">
        <f>IF($A5="","N/A",IF(D5=0,"N/A",E5/D5))</f>
        <v>0.75</v>
      </c>
      <c r="J5" s="13">
        <f>IF(ISNUMBER(H5),IF(H5=0,"N/A",B5/H5),"N/A")</f>
        <v>26666666.666666668</v>
      </c>
      <c r="K5" s="13">
        <f>IF(ISNUMBER(J5),J5-C5,"N/A")</f>
        <v>14666666.666666668</v>
      </c>
      <c r="L5" s="13">
        <f>IF(ISNUMBER(J5),B5-J5,"N/A")</f>
        <v>-6666666.6666666679</v>
      </c>
      <c r="M5" s="15" t="str">
        <f>IF(NOT(ISNUMBER(H5)),IF(A5="","","NOT_APPLICABLE"),IF(ROUND(H5,6)&gt;1,"UNDER_BUDGET",IF(ROUND(H5,6)&lt;1,"OVER_BUDGET","ON_BUDGET")))</f>
        <v>OVER_BUDGET</v>
      </c>
      <c r="N5" s="15" t="str">
        <f>IF(NOT(ISNUMBER(I5)),IF(A5="","","NOT_APPLICABLE"),IF(ROUND(I5,6)&gt;1,"AHEAD_OF_SCHEDULE",IF(ROUND(I5,6)&lt;1,"BEHIND_SCHEDULE","ON_SCHEDULE")))</f>
        <v>BEHIND_SCHEDULE</v>
      </c>
    </row>
    <row r="6" spans="1:14" x14ac:dyDescent="0.3">
      <c r="A6" s="12" t="str">
        <f>IF(Datos!A6="","",Datos!A6)</f>
        <v>Pruebas QA</v>
      </c>
      <c r="B6" s="13">
        <f>IF($A6="","N/A",Datos!B6)</f>
        <v>6000000</v>
      </c>
      <c r="C6" s="13">
        <f>IF($A6="","N/A",Datos!E6)</f>
        <v>0</v>
      </c>
      <c r="D6" s="13">
        <f>IF($A6="","N/A",Datos!B6*Datos!C6)</f>
        <v>1200000</v>
      </c>
      <c r="E6" s="13">
        <f>IF($A6="","N/A",Datos!B6*Datos!D6)</f>
        <v>0</v>
      </c>
      <c r="F6" s="13">
        <f>IF($A6="","N/A",E6-C6)</f>
        <v>0</v>
      </c>
      <c r="G6" s="13">
        <f>IF($A6="","N/A",E6-D6)</f>
        <v>-1200000</v>
      </c>
      <c r="H6" s="14" t="str">
        <f>IF($A6="","N/A",IF(C6=0,"N/A",E6/C6))</f>
        <v>N/A</v>
      </c>
      <c r="I6" s="14">
        <f>IF($A6="","N/A",IF(D6=0,"N/A",E6/D6))</f>
        <v>0</v>
      </c>
      <c r="J6" s="13" t="str">
        <f>IF(ISNUMBER(H6),IF(H6=0,"N/A",B6/H6),"N/A")</f>
        <v>N/A</v>
      </c>
      <c r="K6" s="13" t="str">
        <f>IF(ISNUMBER(J6),J6-C6,"N/A")</f>
        <v>N/A</v>
      </c>
      <c r="L6" s="13" t="str">
        <f>IF(ISNUMBER(J6),B6-J6,"N/A")</f>
        <v>N/A</v>
      </c>
      <c r="M6" s="15" t="str">
        <f>IF(NOT(ISNUMBER(H6)),IF(A6="","","NOT_APPLICABLE"),IF(ROUND(H6,6)&gt;1,"UNDER_BUDGET",IF(ROUND(H6,6)&lt;1,"OVER_BUDGET","ON_BUDGET")))</f>
        <v>NOT_APPLICABLE</v>
      </c>
      <c r="N6" s="15" t="str">
        <f>IF(NOT(ISNUMBER(I6)),IF(A6="","","NOT_APPLICABLE"),IF(ROUND(I6,6)&gt;1,"AHEAD_OF_SCHEDULE",IF(ROUND(I6,6)&lt;1,"BEHIND_SCHEDULE","ON_SCHEDULE")))</f>
        <v>BEHIND_SCHEDULE</v>
      </c>
    </row>
    <row r="7" spans="1:14" x14ac:dyDescent="0.3">
      <c r="A7" s="12" t="str">
        <f>IF(Datos!A7="","",Datos!A7)</f>
        <v/>
      </c>
      <c r="B7" s="13" t="str">
        <f>IF($A7="","N/A",Datos!B7)</f>
        <v>N/A</v>
      </c>
      <c r="C7" s="13" t="str">
        <f>IF($A7="","N/A",Datos!E7)</f>
        <v>N/A</v>
      </c>
      <c r="D7" s="13" t="str">
        <f>IF($A7="","N/A",Datos!B7*Datos!C7)</f>
        <v>N/A</v>
      </c>
      <c r="E7" s="13" t="str">
        <f>IF($A7="","N/A",Datos!B7*Datos!D7)</f>
        <v>N/A</v>
      </c>
      <c r="F7" s="13" t="str">
        <f>IF($A7="","N/A",E7-C7)</f>
        <v>N/A</v>
      </c>
      <c r="G7" s="13" t="str">
        <f>IF($A7="","N/A",E7-D7)</f>
        <v>N/A</v>
      </c>
      <c r="H7" s="14" t="str">
        <f>IF($A7="","N/A",IF(C7=0,"N/A",E7/C7))</f>
        <v>N/A</v>
      </c>
      <c r="I7" s="14" t="str">
        <f>IF($A7="","N/A",IF(D7=0,"N/A",E7/D7))</f>
        <v>N/A</v>
      </c>
      <c r="J7" s="13" t="str">
        <f>IF(ISNUMBER(H7),IF(H7=0,"N/A",B7/H7),"N/A")</f>
        <v>N/A</v>
      </c>
      <c r="K7" s="13" t="str">
        <f>IF(ISNUMBER(J7),J7-C7,"N/A")</f>
        <v>N/A</v>
      </c>
      <c r="L7" s="13" t="str">
        <f>IF(ISNUMBER(J7),B7-J7,"N/A")</f>
        <v>N/A</v>
      </c>
      <c r="M7" s="15" t="str">
        <f>IF(NOT(ISNUMBER(H7)),IF(A7="","","NOT_APPLICABLE"),IF(ROUND(H7,6)&gt;1,"UNDER_BUDGET",IF(ROUND(H7,6)&lt;1,"OVER_BUDGET","ON_BUDGET")))</f>
        <v/>
      </c>
      <c r="N7" s="15" t="str">
        <f>IF(NOT(ISNUMBER(I7)),IF(A7="","","NOT_APPLICABLE"),IF(ROUND(I7,6)&gt;1,"AHEAD_OF_SCHEDULE",IF(ROUND(I7,6)&lt;1,"BEHIND_SCHEDULE","ON_SCHEDULE")))</f>
        <v/>
      </c>
    </row>
    <row r="8" spans="1:14" x14ac:dyDescent="0.3">
      <c r="A8" s="16" t="s">
        <v>27</v>
      </c>
      <c r="B8" s="17">
        <f t="shared" ref="B8:G8" si="0">SUM(B4:B7)</f>
        <v>34000000</v>
      </c>
      <c r="C8" s="17">
        <f t="shared" si="0"/>
        <v>19200000</v>
      </c>
      <c r="D8" s="17">
        <f t="shared" si="0"/>
        <v>21200000</v>
      </c>
      <c r="E8" s="17">
        <f t="shared" si="0"/>
        <v>17000000</v>
      </c>
      <c r="F8" s="17">
        <f t="shared" si="0"/>
        <v>-2200000</v>
      </c>
      <c r="G8" s="17">
        <f t="shared" si="0"/>
        <v>-4200000</v>
      </c>
      <c r="H8" s="18">
        <f>IF(C8=0,"N/A",E8/C8)</f>
        <v>0.88541666666666663</v>
      </c>
      <c r="I8" s="18">
        <f>IF(D8=0,"N/A",E8/D8)</f>
        <v>0.80188679245283023</v>
      </c>
      <c r="J8" s="17">
        <f>IF(ISNUMBER(H8),IF(H8=0,"N/A",B8/H8),"N/A")</f>
        <v>38400000</v>
      </c>
      <c r="K8" s="17">
        <f>IF(ISNUMBER(J8),J8-C8,"N/A")</f>
        <v>19200000</v>
      </c>
      <c r="L8" s="17">
        <f>IF(ISNUMBER(J8),B8-J8,"N/A")</f>
        <v>-4400000</v>
      </c>
      <c r="M8" s="19" t="str">
        <f>IF(NOT(ISNUMBER(H8)),IF(A8="","","NOT_APPLICABLE"),IF(ROUND(H8,6)&gt;1,"UNDER_BUDGET",IF(ROUND(H8,6)&lt;1,"OVER_BUDGET","ON_BUDGET")))</f>
        <v>OVER_BUDGET</v>
      </c>
      <c r="N8" s="19" t="str">
        <f>IF(NOT(ISNUMBER(I8)),IF(A8="","","NOT_APPLICABLE"),IF(ROUND(I8,6)&gt;1,"AHEAD_OF_SCHEDULE",IF(ROUND(I8,6)&lt;1,"BEHIND_SCHEDULE","ON_SCHEDULE")))</f>
        <v>BEHIND_SCHEDULE</v>
      </c>
    </row>
    <row r="10" spans="1:14" x14ac:dyDescent="0.3">
      <c r="A10" s="2"/>
    </row>
    <row r="11" spans="1:14" x14ac:dyDescent="0.3">
      <c r="A11" s="10"/>
    </row>
  </sheetData>
  <conditionalFormatting sqref="M4:M8">
    <cfRule type="expression" dxfId="6" priority="2">
      <formula>OR(M4="OVER_BUDGET")</formula>
    </cfRule>
    <cfRule type="expression" dxfId="5" priority="3">
      <formula>OR(M4="UNDER_BUDGET",M4="ON_BUDGET")</formula>
    </cfRule>
  </conditionalFormatting>
  <conditionalFormatting sqref="N4:N8">
    <cfRule type="expression" dxfId="4" priority="4">
      <formula>N4="BEHIND_SCHEDULE"</formula>
    </cfRule>
    <cfRule type="expression" dxfId="3" priority="5">
      <formula>OR(N4="AHEAD_OF_SCHEDULE",N4="ON_SCHEDULE")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zoomScaleNormal="100" workbookViewId="0">
      <pane ySplit="6" topLeftCell="A7" activePane="bottomLeft" state="frozen"/>
      <selection pane="bottomLeft" activeCell="A54" sqref="A54"/>
    </sheetView>
  </sheetViews>
  <sheetFormatPr baseColWidth="10" defaultColWidth="8.6640625" defaultRowHeight="14.4" x14ac:dyDescent="0.3"/>
  <cols>
    <col min="1" max="1" width="24" customWidth="1"/>
    <col min="2" max="2" width="12" customWidth="1"/>
    <col min="3" max="4" width="18" customWidth="1"/>
    <col min="5" max="5" width="14" customWidth="1"/>
    <col min="6" max="6" width="12" customWidth="1"/>
    <col min="7" max="7" width="14" customWidth="1"/>
  </cols>
  <sheetData>
    <row r="1" spans="1:7" ht="15.6" customHeight="1" x14ac:dyDescent="0.3">
      <c r="A1" s="1" t="s">
        <v>28</v>
      </c>
    </row>
    <row r="2" spans="1:7" x14ac:dyDescent="0.3">
      <c r="A2" s="2" t="s">
        <v>29</v>
      </c>
      <c r="B2" s="20">
        <v>0.01</v>
      </c>
      <c r="D2" s="2" t="s">
        <v>30</v>
      </c>
      <c r="E2" s="10">
        <f>COUNTIF(G7:G51,"COINCIDE")</f>
        <v>36</v>
      </c>
      <c r="G2" s="10"/>
    </row>
    <row r="3" spans="1:7" x14ac:dyDescent="0.3">
      <c r="A3" s="2" t="s">
        <v>31</v>
      </c>
      <c r="B3" s="20">
        <v>1E-4</v>
      </c>
      <c r="D3" s="2" t="s">
        <v>32</v>
      </c>
      <c r="E3" s="10">
        <f>COUNTIF(G7:G51,"DIFERENTE")</f>
        <v>0</v>
      </c>
      <c r="G3" s="10"/>
    </row>
    <row r="4" spans="1:7" x14ac:dyDescent="0.3">
      <c r="D4" s="2" t="s">
        <v>33</v>
      </c>
      <c r="E4" s="10">
        <f>COUNTIF(G7:G51,"PENDIENTE")</f>
        <v>9</v>
      </c>
    </row>
    <row r="6" spans="1:7" x14ac:dyDescent="0.3">
      <c r="A6" s="21" t="s">
        <v>34</v>
      </c>
      <c r="B6" s="21" t="s">
        <v>35</v>
      </c>
      <c r="C6" s="21" t="s">
        <v>36</v>
      </c>
      <c r="D6" s="21" t="s">
        <v>37</v>
      </c>
      <c r="E6" s="21" t="s">
        <v>38</v>
      </c>
      <c r="F6" s="21" t="s">
        <v>39</v>
      </c>
      <c r="G6" s="21" t="s">
        <v>40</v>
      </c>
    </row>
    <row r="7" spans="1:7" x14ac:dyDescent="0.3">
      <c r="A7" s="12" t="str">
        <f>IF(EVM!A4="","-",EVM!A4)</f>
        <v>Diseño UX</v>
      </c>
      <c r="B7" s="12" t="s">
        <v>41</v>
      </c>
      <c r="C7" s="22">
        <f>EVM!D4</f>
        <v>8000000</v>
      </c>
      <c r="D7" s="23">
        <v>8000000</v>
      </c>
      <c r="E7" s="13">
        <f t="shared" ref="E7:E51" si="0">IF(AND(ISNUMBER(C7),ISNUMBER(D7)),C7-D7,"")</f>
        <v>0</v>
      </c>
      <c r="F7" s="24">
        <f>$B$2</f>
        <v>0.01</v>
      </c>
      <c r="G7" s="15" t="str">
        <f t="shared" ref="G7:G51" si="1">IF(D7="","PENDIENTE",IF(OR(ISTEXT(C7),ISTEXT(D7)),IF(AND(C7="N/A",D7="null"),"COINCIDE","DIFERENTE"),IF(ABS(C7-D7)&lt;=F7,"COINCIDE","DIFERENTE")))</f>
        <v>COINCIDE</v>
      </c>
    </row>
    <row r="8" spans="1:7" x14ac:dyDescent="0.3">
      <c r="A8" s="12" t="str">
        <f>IF(EVM!A4="","-",EVM!A4)</f>
        <v>Diseño UX</v>
      </c>
      <c r="B8" s="12" t="s">
        <v>42</v>
      </c>
      <c r="C8" s="22">
        <f>EVM!E4</f>
        <v>8000000</v>
      </c>
      <c r="D8" s="23">
        <v>8000000</v>
      </c>
      <c r="E8" s="13">
        <f t="shared" si="0"/>
        <v>0</v>
      </c>
      <c r="F8" s="24">
        <f>$B$2</f>
        <v>0.01</v>
      </c>
      <c r="G8" s="15" t="str">
        <f t="shared" si="1"/>
        <v>COINCIDE</v>
      </c>
    </row>
    <row r="9" spans="1:7" x14ac:dyDescent="0.3">
      <c r="A9" s="12" t="str">
        <f>IF(EVM!A4="","-",EVM!A4)</f>
        <v>Diseño UX</v>
      </c>
      <c r="B9" s="12" t="s">
        <v>43</v>
      </c>
      <c r="C9" s="22">
        <f>EVM!F4</f>
        <v>800000</v>
      </c>
      <c r="D9" s="23">
        <v>800000</v>
      </c>
      <c r="E9" s="13">
        <f t="shared" si="0"/>
        <v>0</v>
      </c>
      <c r="F9" s="24">
        <f>$B$2</f>
        <v>0.01</v>
      </c>
      <c r="G9" s="15" t="str">
        <f t="shared" si="1"/>
        <v>COINCIDE</v>
      </c>
    </row>
    <row r="10" spans="1:7" x14ac:dyDescent="0.3">
      <c r="A10" s="12" t="str">
        <f>IF(EVM!A4="","-",EVM!A4)</f>
        <v>Diseño UX</v>
      </c>
      <c r="B10" s="12" t="s">
        <v>44</v>
      </c>
      <c r="C10" s="22">
        <f>EVM!G4</f>
        <v>0</v>
      </c>
      <c r="D10" s="23">
        <v>0</v>
      </c>
      <c r="E10" s="13">
        <f t="shared" si="0"/>
        <v>0</v>
      </c>
      <c r="F10" s="24">
        <f>$B$2</f>
        <v>0.01</v>
      </c>
      <c r="G10" s="15" t="str">
        <f t="shared" si="1"/>
        <v>COINCIDE</v>
      </c>
    </row>
    <row r="11" spans="1:7" x14ac:dyDescent="0.3">
      <c r="A11" s="12" t="str">
        <f>IF(EVM!A4="","-",EVM!A4)</f>
        <v>Diseño UX</v>
      </c>
      <c r="B11" s="12" t="s">
        <v>20</v>
      </c>
      <c r="C11" s="25">
        <f>EVM!H4</f>
        <v>1.1111111111111112</v>
      </c>
      <c r="D11" s="26">
        <v>1.1111</v>
      </c>
      <c r="E11" s="14">
        <f t="shared" si="0"/>
        <v>1.1111111111183902E-5</v>
      </c>
      <c r="F11" s="24">
        <f>$B$3</f>
        <v>1E-4</v>
      </c>
      <c r="G11" s="15" t="str">
        <f t="shared" si="1"/>
        <v>COINCIDE</v>
      </c>
    </row>
    <row r="12" spans="1:7" x14ac:dyDescent="0.3">
      <c r="A12" s="12" t="str">
        <f>IF(EVM!A4="","-",EVM!A4)</f>
        <v>Diseño UX</v>
      </c>
      <c r="B12" s="12" t="s">
        <v>21</v>
      </c>
      <c r="C12" s="25">
        <f>EVM!I4</f>
        <v>1</v>
      </c>
      <c r="D12" s="26">
        <v>1</v>
      </c>
      <c r="E12" s="14">
        <f t="shared" si="0"/>
        <v>0</v>
      </c>
      <c r="F12" s="24">
        <f>$B$3</f>
        <v>1E-4</v>
      </c>
      <c r="G12" s="15" t="str">
        <f t="shared" si="1"/>
        <v>COINCIDE</v>
      </c>
    </row>
    <row r="13" spans="1:7" x14ac:dyDescent="0.3">
      <c r="A13" s="12" t="str">
        <f>IF(EVM!A4="","-",EVM!A4)</f>
        <v>Diseño UX</v>
      </c>
      <c r="B13" s="12" t="s">
        <v>45</v>
      </c>
      <c r="C13" s="22">
        <f>EVM!J4</f>
        <v>7200000</v>
      </c>
      <c r="D13" s="23">
        <v>7200000</v>
      </c>
      <c r="E13" s="13">
        <f t="shared" si="0"/>
        <v>0</v>
      </c>
      <c r="F13" s="24">
        <f t="shared" ref="F13:F19" si="2">$B$2</f>
        <v>0.01</v>
      </c>
      <c r="G13" s="15" t="str">
        <f t="shared" si="1"/>
        <v>COINCIDE</v>
      </c>
    </row>
    <row r="14" spans="1:7" x14ac:dyDescent="0.3">
      <c r="A14" s="12" t="str">
        <f>IF(EVM!A4="","-",EVM!A4)</f>
        <v>Diseño UX</v>
      </c>
      <c r="B14" s="12" t="s">
        <v>46</v>
      </c>
      <c r="C14" s="22">
        <f>EVM!K4</f>
        <v>0</v>
      </c>
      <c r="D14" s="23">
        <v>0</v>
      </c>
      <c r="E14" s="13">
        <f t="shared" si="0"/>
        <v>0</v>
      </c>
      <c r="F14" s="24">
        <f t="shared" si="2"/>
        <v>0.01</v>
      </c>
      <c r="G14" s="15" t="str">
        <f t="shared" si="1"/>
        <v>COINCIDE</v>
      </c>
    </row>
    <row r="15" spans="1:7" x14ac:dyDescent="0.3">
      <c r="A15" s="12" t="str">
        <f>IF(EVM!A4="","-",EVM!A4)</f>
        <v>Diseño UX</v>
      </c>
      <c r="B15" s="12" t="s">
        <v>47</v>
      </c>
      <c r="C15" s="22">
        <f>EVM!L4</f>
        <v>800000</v>
      </c>
      <c r="D15" s="23">
        <v>800000</v>
      </c>
      <c r="E15" s="13">
        <f t="shared" si="0"/>
        <v>0</v>
      </c>
      <c r="F15" s="24">
        <f t="shared" si="2"/>
        <v>0.01</v>
      </c>
      <c r="G15" s="15" t="str">
        <f t="shared" si="1"/>
        <v>COINCIDE</v>
      </c>
    </row>
    <row r="16" spans="1:7" x14ac:dyDescent="0.3">
      <c r="A16" s="12" t="str">
        <f>IF(EVM!A5="","-",EVM!A5)</f>
        <v>Desarrollo backend</v>
      </c>
      <c r="B16" s="12" t="s">
        <v>41</v>
      </c>
      <c r="C16" s="22">
        <f>EVM!D5</f>
        <v>12000000</v>
      </c>
      <c r="D16" s="23">
        <v>12000000</v>
      </c>
      <c r="E16" s="13">
        <f t="shared" si="0"/>
        <v>0</v>
      </c>
      <c r="F16" s="24">
        <f t="shared" si="2"/>
        <v>0.01</v>
      </c>
      <c r="G16" s="15" t="str">
        <f t="shared" si="1"/>
        <v>COINCIDE</v>
      </c>
    </row>
    <row r="17" spans="1:7" x14ac:dyDescent="0.3">
      <c r="A17" s="12" t="str">
        <f>IF(EVM!A5="","-",EVM!A5)</f>
        <v>Desarrollo backend</v>
      </c>
      <c r="B17" s="12" t="s">
        <v>42</v>
      </c>
      <c r="C17" s="22">
        <f>EVM!E5</f>
        <v>9000000</v>
      </c>
      <c r="D17" s="23">
        <v>9000000</v>
      </c>
      <c r="E17" s="13">
        <f t="shared" si="0"/>
        <v>0</v>
      </c>
      <c r="F17" s="24">
        <f t="shared" si="2"/>
        <v>0.01</v>
      </c>
      <c r="G17" s="15" t="str">
        <f t="shared" si="1"/>
        <v>COINCIDE</v>
      </c>
    </row>
    <row r="18" spans="1:7" x14ac:dyDescent="0.3">
      <c r="A18" s="12" t="str">
        <f>IF(EVM!A5="","-",EVM!A5)</f>
        <v>Desarrollo backend</v>
      </c>
      <c r="B18" s="12" t="s">
        <v>43</v>
      </c>
      <c r="C18" s="22">
        <f>EVM!F5</f>
        <v>-3000000</v>
      </c>
      <c r="D18" s="23">
        <v>-3000000</v>
      </c>
      <c r="E18" s="13">
        <f t="shared" si="0"/>
        <v>0</v>
      </c>
      <c r="F18" s="24">
        <f t="shared" si="2"/>
        <v>0.01</v>
      </c>
      <c r="G18" s="15" t="str">
        <f t="shared" si="1"/>
        <v>COINCIDE</v>
      </c>
    </row>
    <row r="19" spans="1:7" x14ac:dyDescent="0.3">
      <c r="A19" s="12" t="str">
        <f>IF(EVM!A5="","-",EVM!A5)</f>
        <v>Desarrollo backend</v>
      </c>
      <c r="B19" s="12" t="s">
        <v>44</v>
      </c>
      <c r="C19" s="22">
        <f>EVM!G5</f>
        <v>-3000000</v>
      </c>
      <c r="D19" s="23">
        <v>-3000000</v>
      </c>
      <c r="E19" s="13">
        <f t="shared" si="0"/>
        <v>0</v>
      </c>
      <c r="F19" s="24">
        <f t="shared" si="2"/>
        <v>0.01</v>
      </c>
      <c r="G19" s="15" t="str">
        <f t="shared" si="1"/>
        <v>COINCIDE</v>
      </c>
    </row>
    <row r="20" spans="1:7" x14ac:dyDescent="0.3">
      <c r="A20" s="12" t="str">
        <f>IF(EVM!A5="","-",EVM!A5)</f>
        <v>Desarrollo backend</v>
      </c>
      <c r="B20" s="12" t="s">
        <v>20</v>
      </c>
      <c r="C20" s="25">
        <f>EVM!H5</f>
        <v>0.75</v>
      </c>
      <c r="D20" s="26">
        <v>0.75</v>
      </c>
      <c r="E20" s="14">
        <f t="shared" si="0"/>
        <v>0</v>
      </c>
      <c r="F20" s="24">
        <f>$B$3</f>
        <v>1E-4</v>
      </c>
      <c r="G20" s="15" t="str">
        <f t="shared" si="1"/>
        <v>COINCIDE</v>
      </c>
    </row>
    <row r="21" spans="1:7" x14ac:dyDescent="0.3">
      <c r="A21" s="12" t="str">
        <f>IF(EVM!A5="","-",EVM!A5)</f>
        <v>Desarrollo backend</v>
      </c>
      <c r="B21" s="12" t="s">
        <v>21</v>
      </c>
      <c r="C21" s="25">
        <f>EVM!I5</f>
        <v>0.75</v>
      </c>
      <c r="D21" s="26">
        <v>0.75</v>
      </c>
      <c r="E21" s="14">
        <f t="shared" si="0"/>
        <v>0</v>
      </c>
      <c r="F21" s="24">
        <f>$B$3</f>
        <v>1E-4</v>
      </c>
      <c r="G21" s="15" t="str">
        <f t="shared" si="1"/>
        <v>COINCIDE</v>
      </c>
    </row>
    <row r="22" spans="1:7" x14ac:dyDescent="0.3">
      <c r="A22" s="12" t="str">
        <f>IF(EVM!A5="","-",EVM!A5)</f>
        <v>Desarrollo backend</v>
      </c>
      <c r="B22" s="12" t="s">
        <v>45</v>
      </c>
      <c r="C22" s="22">
        <f>EVM!J5</f>
        <v>26666666.666666668</v>
      </c>
      <c r="D22" s="23">
        <v>26666666.670000002</v>
      </c>
      <c r="E22" s="13">
        <f t="shared" si="0"/>
        <v>-3.3333338797092438E-3</v>
      </c>
      <c r="F22" s="24">
        <f t="shared" ref="F22:F28" si="3">$B$2</f>
        <v>0.01</v>
      </c>
      <c r="G22" s="15" t="str">
        <f t="shared" si="1"/>
        <v>COINCIDE</v>
      </c>
    </row>
    <row r="23" spans="1:7" x14ac:dyDescent="0.3">
      <c r="A23" s="12" t="str">
        <f>IF(EVM!A5="","-",EVM!A5)</f>
        <v>Desarrollo backend</v>
      </c>
      <c r="B23" s="12" t="s">
        <v>46</v>
      </c>
      <c r="C23" s="22">
        <f>EVM!K5</f>
        <v>14666666.666666668</v>
      </c>
      <c r="D23" s="23">
        <v>14666666.67</v>
      </c>
      <c r="E23" s="13">
        <f t="shared" si="0"/>
        <v>-3.3333320170640945E-3</v>
      </c>
      <c r="F23" s="24">
        <f t="shared" si="3"/>
        <v>0.01</v>
      </c>
      <c r="G23" s="15" t="str">
        <f t="shared" si="1"/>
        <v>COINCIDE</v>
      </c>
    </row>
    <row r="24" spans="1:7" x14ac:dyDescent="0.3">
      <c r="A24" s="12" t="str">
        <f>IF(EVM!A5="","-",EVM!A5)</f>
        <v>Desarrollo backend</v>
      </c>
      <c r="B24" s="12" t="s">
        <v>47</v>
      </c>
      <c r="C24" s="22">
        <f>EVM!L5</f>
        <v>-6666666.6666666679</v>
      </c>
      <c r="D24" s="23">
        <v>-6666666.6699999999</v>
      </c>
      <c r="E24" s="13">
        <f t="shared" si="0"/>
        <v>3.3333320170640945E-3</v>
      </c>
      <c r="F24" s="24">
        <f t="shared" si="3"/>
        <v>0.01</v>
      </c>
      <c r="G24" s="15" t="str">
        <f t="shared" si="1"/>
        <v>COINCIDE</v>
      </c>
    </row>
    <row r="25" spans="1:7" x14ac:dyDescent="0.3">
      <c r="A25" s="12" t="str">
        <f>IF(EVM!A6="","-",EVM!A6)</f>
        <v>Pruebas QA</v>
      </c>
      <c r="B25" s="12" t="s">
        <v>41</v>
      </c>
      <c r="C25" s="22">
        <f>EVM!D6</f>
        <v>1200000</v>
      </c>
      <c r="D25" s="23">
        <v>1200000</v>
      </c>
      <c r="E25" s="13">
        <f t="shared" si="0"/>
        <v>0</v>
      </c>
      <c r="F25" s="24">
        <f t="shared" si="3"/>
        <v>0.01</v>
      </c>
      <c r="G25" s="15" t="str">
        <f t="shared" si="1"/>
        <v>COINCIDE</v>
      </c>
    </row>
    <row r="26" spans="1:7" x14ac:dyDescent="0.3">
      <c r="A26" s="12" t="str">
        <f>IF(EVM!A6="","-",EVM!A6)</f>
        <v>Pruebas QA</v>
      </c>
      <c r="B26" s="12" t="s">
        <v>42</v>
      </c>
      <c r="C26" s="22">
        <f>EVM!E6</f>
        <v>0</v>
      </c>
      <c r="D26" s="23">
        <v>0</v>
      </c>
      <c r="E26" s="13">
        <f t="shared" si="0"/>
        <v>0</v>
      </c>
      <c r="F26" s="24">
        <f t="shared" si="3"/>
        <v>0.01</v>
      </c>
      <c r="G26" s="15" t="str">
        <f t="shared" si="1"/>
        <v>COINCIDE</v>
      </c>
    </row>
    <row r="27" spans="1:7" x14ac:dyDescent="0.3">
      <c r="A27" s="12" t="str">
        <f>IF(EVM!A6="","-",EVM!A6)</f>
        <v>Pruebas QA</v>
      </c>
      <c r="B27" s="12" t="s">
        <v>43</v>
      </c>
      <c r="C27" s="22">
        <f>EVM!F6</f>
        <v>0</v>
      </c>
      <c r="D27" s="23">
        <v>0</v>
      </c>
      <c r="E27" s="13">
        <f t="shared" si="0"/>
        <v>0</v>
      </c>
      <c r="F27" s="24">
        <f t="shared" si="3"/>
        <v>0.01</v>
      </c>
      <c r="G27" s="15" t="str">
        <f t="shared" si="1"/>
        <v>COINCIDE</v>
      </c>
    </row>
    <row r="28" spans="1:7" x14ac:dyDescent="0.3">
      <c r="A28" s="12" t="str">
        <f>IF(EVM!A6="","-",EVM!A6)</f>
        <v>Pruebas QA</v>
      </c>
      <c r="B28" s="12" t="s">
        <v>44</v>
      </c>
      <c r="C28" s="22">
        <f>EVM!G6</f>
        <v>-1200000</v>
      </c>
      <c r="D28" s="23">
        <v>-1200000</v>
      </c>
      <c r="E28" s="13">
        <f t="shared" si="0"/>
        <v>0</v>
      </c>
      <c r="F28" s="24">
        <f t="shared" si="3"/>
        <v>0.01</v>
      </c>
      <c r="G28" s="15" t="str">
        <f t="shared" si="1"/>
        <v>COINCIDE</v>
      </c>
    </row>
    <row r="29" spans="1:7" x14ac:dyDescent="0.3">
      <c r="A29" s="12" t="str">
        <f>IF(EVM!A6="","-",EVM!A6)</f>
        <v>Pruebas QA</v>
      </c>
      <c r="B29" s="12" t="s">
        <v>20</v>
      </c>
      <c r="C29" s="25" t="str">
        <f>EVM!H6</f>
        <v>N/A</v>
      </c>
      <c r="D29" s="26" t="s">
        <v>48</v>
      </c>
      <c r="E29" s="14" t="str">
        <f t="shared" si="0"/>
        <v/>
      </c>
      <c r="F29" s="24">
        <f>$B$3</f>
        <v>1E-4</v>
      </c>
      <c r="G29" s="15" t="str">
        <f t="shared" si="1"/>
        <v>COINCIDE</v>
      </c>
    </row>
    <row r="30" spans="1:7" x14ac:dyDescent="0.3">
      <c r="A30" s="12" t="str">
        <f>IF(EVM!A6="","-",EVM!A6)</f>
        <v>Pruebas QA</v>
      </c>
      <c r="B30" s="12" t="s">
        <v>21</v>
      </c>
      <c r="C30" s="25">
        <f>EVM!I6</f>
        <v>0</v>
      </c>
      <c r="D30" s="26">
        <v>0</v>
      </c>
      <c r="E30" s="14">
        <f t="shared" si="0"/>
        <v>0</v>
      </c>
      <c r="F30" s="24">
        <f>$B$3</f>
        <v>1E-4</v>
      </c>
      <c r="G30" s="15" t="str">
        <f t="shared" si="1"/>
        <v>COINCIDE</v>
      </c>
    </row>
    <row r="31" spans="1:7" x14ac:dyDescent="0.3">
      <c r="A31" s="12" t="str">
        <f>IF(EVM!A6="","-",EVM!A6)</f>
        <v>Pruebas QA</v>
      </c>
      <c r="B31" s="12" t="s">
        <v>45</v>
      </c>
      <c r="C31" s="22" t="str">
        <f>EVM!J6</f>
        <v>N/A</v>
      </c>
      <c r="D31" s="23" t="s">
        <v>48</v>
      </c>
      <c r="E31" s="13" t="str">
        <f t="shared" si="0"/>
        <v/>
      </c>
      <c r="F31" s="24">
        <f t="shared" ref="F31:F37" si="4">$B$2</f>
        <v>0.01</v>
      </c>
      <c r="G31" s="15" t="str">
        <f t="shared" si="1"/>
        <v>COINCIDE</v>
      </c>
    </row>
    <row r="32" spans="1:7" x14ac:dyDescent="0.3">
      <c r="A32" s="12" t="str">
        <f>IF(EVM!A6="","-",EVM!A6)</f>
        <v>Pruebas QA</v>
      </c>
      <c r="B32" s="12" t="s">
        <v>46</v>
      </c>
      <c r="C32" s="22" t="str">
        <f>EVM!K6</f>
        <v>N/A</v>
      </c>
      <c r="D32" s="23" t="s">
        <v>48</v>
      </c>
      <c r="E32" s="13" t="str">
        <f t="shared" si="0"/>
        <v/>
      </c>
      <c r="F32" s="24">
        <f t="shared" si="4"/>
        <v>0.01</v>
      </c>
      <c r="G32" s="15" t="str">
        <f t="shared" si="1"/>
        <v>COINCIDE</v>
      </c>
    </row>
    <row r="33" spans="1:7" x14ac:dyDescent="0.3">
      <c r="A33" s="12" t="str">
        <f>IF(EVM!A6="","-",EVM!A6)</f>
        <v>Pruebas QA</v>
      </c>
      <c r="B33" s="12" t="s">
        <v>47</v>
      </c>
      <c r="C33" s="22" t="str">
        <f>EVM!L6</f>
        <v>N/A</v>
      </c>
      <c r="D33" s="23" t="s">
        <v>48</v>
      </c>
      <c r="E33" s="13" t="str">
        <f t="shared" si="0"/>
        <v/>
      </c>
      <c r="F33" s="24">
        <f t="shared" si="4"/>
        <v>0.01</v>
      </c>
      <c r="G33" s="15" t="str">
        <f t="shared" si="1"/>
        <v>COINCIDE</v>
      </c>
    </row>
    <row r="34" spans="1:7" x14ac:dyDescent="0.3">
      <c r="A34" s="12" t="str">
        <f>IF(EVM!A7="","-",EVM!A7)</f>
        <v>-</v>
      </c>
      <c r="B34" s="12" t="s">
        <v>41</v>
      </c>
      <c r="C34" s="22" t="str">
        <f>EVM!D7</f>
        <v>N/A</v>
      </c>
      <c r="D34" s="23"/>
      <c r="E34" s="13" t="str">
        <f t="shared" si="0"/>
        <v/>
      </c>
      <c r="F34" s="24">
        <f t="shared" si="4"/>
        <v>0.01</v>
      </c>
      <c r="G34" s="15" t="str">
        <f t="shared" si="1"/>
        <v>PENDIENTE</v>
      </c>
    </row>
    <row r="35" spans="1:7" x14ac:dyDescent="0.3">
      <c r="A35" s="12" t="str">
        <f>IF(EVM!A7="","-",EVM!A7)</f>
        <v>-</v>
      </c>
      <c r="B35" s="12" t="s">
        <v>42</v>
      </c>
      <c r="C35" s="22" t="str">
        <f>EVM!E7</f>
        <v>N/A</v>
      </c>
      <c r="D35" s="23"/>
      <c r="E35" s="13" t="str">
        <f t="shared" si="0"/>
        <v/>
      </c>
      <c r="F35" s="24">
        <f t="shared" si="4"/>
        <v>0.01</v>
      </c>
      <c r="G35" s="15" t="str">
        <f t="shared" si="1"/>
        <v>PENDIENTE</v>
      </c>
    </row>
    <row r="36" spans="1:7" x14ac:dyDescent="0.3">
      <c r="A36" s="12" t="str">
        <f>IF(EVM!A7="","-",EVM!A7)</f>
        <v>-</v>
      </c>
      <c r="B36" s="12" t="s">
        <v>43</v>
      </c>
      <c r="C36" s="22" t="str">
        <f>EVM!F7</f>
        <v>N/A</v>
      </c>
      <c r="D36" s="23"/>
      <c r="E36" s="13" t="str">
        <f t="shared" si="0"/>
        <v/>
      </c>
      <c r="F36" s="24">
        <f t="shared" si="4"/>
        <v>0.01</v>
      </c>
      <c r="G36" s="15" t="str">
        <f t="shared" si="1"/>
        <v>PENDIENTE</v>
      </c>
    </row>
    <row r="37" spans="1:7" x14ac:dyDescent="0.3">
      <c r="A37" s="12" t="str">
        <f>IF(EVM!A7="","-",EVM!A7)</f>
        <v>-</v>
      </c>
      <c r="B37" s="12" t="s">
        <v>44</v>
      </c>
      <c r="C37" s="22" t="str">
        <f>EVM!G7</f>
        <v>N/A</v>
      </c>
      <c r="D37" s="23"/>
      <c r="E37" s="13" t="str">
        <f t="shared" si="0"/>
        <v/>
      </c>
      <c r="F37" s="24">
        <f t="shared" si="4"/>
        <v>0.01</v>
      </c>
      <c r="G37" s="15" t="str">
        <f t="shared" si="1"/>
        <v>PENDIENTE</v>
      </c>
    </row>
    <row r="38" spans="1:7" x14ac:dyDescent="0.3">
      <c r="A38" s="12" t="str">
        <f>IF(EVM!A7="","-",EVM!A7)</f>
        <v>-</v>
      </c>
      <c r="B38" s="12" t="s">
        <v>20</v>
      </c>
      <c r="C38" s="25" t="str">
        <f>EVM!H7</f>
        <v>N/A</v>
      </c>
      <c r="D38" s="26"/>
      <c r="E38" s="14" t="str">
        <f t="shared" si="0"/>
        <v/>
      </c>
      <c r="F38" s="24">
        <f>$B$3</f>
        <v>1E-4</v>
      </c>
      <c r="G38" s="15" t="str">
        <f t="shared" si="1"/>
        <v>PENDIENTE</v>
      </c>
    </row>
    <row r="39" spans="1:7" x14ac:dyDescent="0.3">
      <c r="A39" s="12" t="str">
        <f>IF(EVM!A7="","-",EVM!A7)</f>
        <v>-</v>
      </c>
      <c r="B39" s="12" t="s">
        <v>21</v>
      </c>
      <c r="C39" s="25" t="str">
        <f>EVM!I7</f>
        <v>N/A</v>
      </c>
      <c r="D39" s="26"/>
      <c r="E39" s="14" t="str">
        <f t="shared" si="0"/>
        <v/>
      </c>
      <c r="F39" s="24">
        <f>$B$3</f>
        <v>1E-4</v>
      </c>
      <c r="G39" s="15" t="str">
        <f t="shared" si="1"/>
        <v>PENDIENTE</v>
      </c>
    </row>
    <row r="40" spans="1:7" x14ac:dyDescent="0.3">
      <c r="A40" s="12" t="str">
        <f>IF(EVM!A7="","-",EVM!A7)</f>
        <v>-</v>
      </c>
      <c r="B40" s="12" t="s">
        <v>45</v>
      </c>
      <c r="C40" s="22" t="str">
        <f>EVM!J7</f>
        <v>N/A</v>
      </c>
      <c r="D40" s="23"/>
      <c r="E40" s="13" t="str">
        <f t="shared" si="0"/>
        <v/>
      </c>
      <c r="F40" s="24">
        <f t="shared" ref="F40:F46" si="5">$B$2</f>
        <v>0.01</v>
      </c>
      <c r="G40" s="15" t="str">
        <f t="shared" si="1"/>
        <v>PENDIENTE</v>
      </c>
    </row>
    <row r="41" spans="1:7" x14ac:dyDescent="0.3">
      <c r="A41" s="12" t="str">
        <f>IF(EVM!A7="","-",EVM!A7)</f>
        <v>-</v>
      </c>
      <c r="B41" s="12" t="s">
        <v>46</v>
      </c>
      <c r="C41" s="22" t="str">
        <f>EVM!K7</f>
        <v>N/A</v>
      </c>
      <c r="D41" s="23"/>
      <c r="E41" s="13" t="str">
        <f t="shared" si="0"/>
        <v/>
      </c>
      <c r="F41" s="24">
        <f t="shared" si="5"/>
        <v>0.01</v>
      </c>
      <c r="G41" s="15" t="str">
        <f t="shared" si="1"/>
        <v>PENDIENTE</v>
      </c>
    </row>
    <row r="42" spans="1:7" x14ac:dyDescent="0.3">
      <c r="A42" s="12" t="str">
        <f>IF(EVM!A7="","-",EVM!A7)</f>
        <v>-</v>
      </c>
      <c r="B42" s="12" t="s">
        <v>47</v>
      </c>
      <c r="C42" s="22" t="str">
        <f>EVM!L7</f>
        <v>N/A</v>
      </c>
      <c r="D42" s="23"/>
      <c r="E42" s="13" t="str">
        <f t="shared" si="0"/>
        <v/>
      </c>
      <c r="F42" s="24">
        <f t="shared" si="5"/>
        <v>0.01</v>
      </c>
      <c r="G42" s="15" t="str">
        <f t="shared" si="1"/>
        <v>PENDIENTE</v>
      </c>
    </row>
    <row r="43" spans="1:7" x14ac:dyDescent="0.3">
      <c r="A43" s="12" t="s">
        <v>49</v>
      </c>
      <c r="B43" s="12" t="s">
        <v>41</v>
      </c>
      <c r="C43" s="22">
        <f>EVM!D8</f>
        <v>21200000</v>
      </c>
      <c r="D43" s="23">
        <v>21200000</v>
      </c>
      <c r="E43" s="13">
        <f t="shared" si="0"/>
        <v>0</v>
      </c>
      <c r="F43" s="24">
        <f t="shared" si="5"/>
        <v>0.01</v>
      </c>
      <c r="G43" s="15" t="str">
        <f t="shared" si="1"/>
        <v>COINCIDE</v>
      </c>
    </row>
    <row r="44" spans="1:7" x14ac:dyDescent="0.3">
      <c r="A44" s="12" t="s">
        <v>49</v>
      </c>
      <c r="B44" s="12" t="s">
        <v>42</v>
      </c>
      <c r="C44" s="22">
        <f>EVM!E8</f>
        <v>17000000</v>
      </c>
      <c r="D44" s="23">
        <v>17000000</v>
      </c>
      <c r="E44" s="13">
        <f t="shared" si="0"/>
        <v>0</v>
      </c>
      <c r="F44" s="24">
        <f t="shared" si="5"/>
        <v>0.01</v>
      </c>
      <c r="G44" s="15" t="str">
        <f t="shared" si="1"/>
        <v>COINCIDE</v>
      </c>
    </row>
    <row r="45" spans="1:7" x14ac:dyDescent="0.3">
      <c r="A45" s="12" t="s">
        <v>49</v>
      </c>
      <c r="B45" s="12" t="s">
        <v>43</v>
      </c>
      <c r="C45" s="22">
        <f>EVM!F8</f>
        <v>-2200000</v>
      </c>
      <c r="D45" s="23">
        <v>-2200000</v>
      </c>
      <c r="E45" s="13">
        <f t="shared" si="0"/>
        <v>0</v>
      </c>
      <c r="F45" s="24">
        <f t="shared" si="5"/>
        <v>0.01</v>
      </c>
      <c r="G45" s="15" t="str">
        <f t="shared" si="1"/>
        <v>COINCIDE</v>
      </c>
    </row>
    <row r="46" spans="1:7" x14ac:dyDescent="0.3">
      <c r="A46" s="12" t="s">
        <v>49</v>
      </c>
      <c r="B46" s="12" t="s">
        <v>44</v>
      </c>
      <c r="C46" s="22">
        <f>EVM!G8</f>
        <v>-4200000</v>
      </c>
      <c r="D46" s="23">
        <v>-4200000</v>
      </c>
      <c r="E46" s="13">
        <f t="shared" si="0"/>
        <v>0</v>
      </c>
      <c r="F46" s="24">
        <f t="shared" si="5"/>
        <v>0.01</v>
      </c>
      <c r="G46" s="15" t="str">
        <f t="shared" si="1"/>
        <v>COINCIDE</v>
      </c>
    </row>
    <row r="47" spans="1:7" x14ac:dyDescent="0.3">
      <c r="A47" s="12" t="s">
        <v>49</v>
      </c>
      <c r="B47" s="12" t="s">
        <v>20</v>
      </c>
      <c r="C47" s="25">
        <f>EVM!H8</f>
        <v>0.88541666666666663</v>
      </c>
      <c r="D47" s="26">
        <v>0.88539999999999996</v>
      </c>
      <c r="E47" s="14">
        <f t="shared" si="0"/>
        <v>1.6666666666664831E-5</v>
      </c>
      <c r="F47" s="24">
        <f>$B$3</f>
        <v>1E-4</v>
      </c>
      <c r="G47" s="15" t="str">
        <f t="shared" si="1"/>
        <v>COINCIDE</v>
      </c>
    </row>
    <row r="48" spans="1:7" x14ac:dyDescent="0.3">
      <c r="A48" s="12" t="s">
        <v>49</v>
      </c>
      <c r="B48" s="12" t="s">
        <v>21</v>
      </c>
      <c r="C48" s="25">
        <f>EVM!I8</f>
        <v>0.80188679245283023</v>
      </c>
      <c r="D48" s="26">
        <v>0.80189999999999995</v>
      </c>
      <c r="E48" s="14">
        <f t="shared" si="0"/>
        <v>-1.3207547169713507E-5</v>
      </c>
      <c r="F48" s="24">
        <f>$B$3</f>
        <v>1E-4</v>
      </c>
      <c r="G48" s="15" t="str">
        <f t="shared" si="1"/>
        <v>COINCIDE</v>
      </c>
    </row>
    <row r="49" spans="1:7" x14ac:dyDescent="0.3">
      <c r="A49" s="12" t="s">
        <v>49</v>
      </c>
      <c r="B49" s="12" t="s">
        <v>45</v>
      </c>
      <c r="C49" s="22">
        <f>EVM!J8</f>
        <v>38400000</v>
      </c>
      <c r="D49" s="23">
        <v>38400000</v>
      </c>
      <c r="E49" s="13">
        <f t="shared" si="0"/>
        <v>0</v>
      </c>
      <c r="F49" s="24">
        <f>$B$2</f>
        <v>0.01</v>
      </c>
      <c r="G49" s="15" t="str">
        <f t="shared" si="1"/>
        <v>COINCIDE</v>
      </c>
    </row>
    <row r="50" spans="1:7" x14ac:dyDescent="0.3">
      <c r="A50" s="12" t="s">
        <v>49</v>
      </c>
      <c r="B50" s="12" t="s">
        <v>46</v>
      </c>
      <c r="C50" s="22">
        <f>EVM!K8</f>
        <v>19200000</v>
      </c>
      <c r="D50" s="23">
        <v>19200000</v>
      </c>
      <c r="E50" s="13">
        <f t="shared" si="0"/>
        <v>0</v>
      </c>
      <c r="F50" s="24">
        <f>$B$2</f>
        <v>0.01</v>
      </c>
      <c r="G50" s="15" t="str">
        <f t="shared" si="1"/>
        <v>COINCIDE</v>
      </c>
    </row>
    <row r="51" spans="1:7" x14ac:dyDescent="0.3">
      <c r="A51" s="12" t="s">
        <v>49</v>
      </c>
      <c r="B51" s="12" t="s">
        <v>47</v>
      </c>
      <c r="C51" s="22">
        <f>EVM!L8</f>
        <v>-4400000</v>
      </c>
      <c r="D51" s="23">
        <v>-4400000</v>
      </c>
      <c r="E51" s="13">
        <f t="shared" si="0"/>
        <v>0</v>
      </c>
      <c r="F51" s="24">
        <f>$B$2</f>
        <v>0.01</v>
      </c>
      <c r="G51" s="15" t="str">
        <f t="shared" si="1"/>
        <v>COINCIDE</v>
      </c>
    </row>
    <row r="53" spans="1:7" x14ac:dyDescent="0.3">
      <c r="A53" s="10"/>
    </row>
  </sheetData>
  <conditionalFormatting sqref="G7:G51">
    <cfRule type="expression" dxfId="2" priority="2">
      <formula>G7="COINCIDE"</formula>
    </cfRule>
    <cfRule type="expression" dxfId="1" priority="3">
      <formula>G7="DIFERENTE"</formula>
    </cfRule>
    <cfRule type="expression" dxfId="0" priority="4">
      <formula>G7="PENDIENTE"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EVM</vt:lpstr>
      <vt:lpstr>Comparación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caste</dc:creator>
  <cp:lastModifiedBy>juan caste</cp:lastModifiedBy>
  <cp:revision>0</cp:revision>
  <dcterms:created xsi:type="dcterms:W3CDTF">2026-10-04T23:36:45Z</dcterms:created>
  <dcterms:modified xsi:type="dcterms:W3CDTF">2026-10-05T01:30:40Z</dcterms:modified>
  <dc:language>es-CO</dc:language>
</cp:coreProperties>
</file>